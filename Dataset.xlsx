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https://pern-my.sharepoint.com/personal/02-136232-049_student_bahria_edu_pk/Documents/Documents/Study Material/Projects/I-ONE Call Center Analysis/"/>
    </mc:Choice>
  </mc:AlternateContent>
  <xr:revisionPtr revIDLastSave="1" documentId="8_{D13B75C4-38F9-4F22-9BC5-DD3E7C9630C7}" xr6:coauthVersionLast="47" xr6:coauthVersionMax="47" xr10:uidLastSave="{268CE353-0221-4111-BE34-DE7888F5A8E0}"/>
  <bookViews>
    <workbookView xWindow="-108" yWindow="-108" windowWidth="23256" windowHeight="12456" activeTab="2" xr2:uid="{26D4546B-D2A1-4444-8EAF-A6228F96F0C1}"/>
  </bookViews>
  <sheets>
    <sheet name="Dataset" sheetId="2" r:id="rId1"/>
    <sheet name="Pivots" sheetId="6" r:id="rId2"/>
    <sheet name="Dashboard" sheetId="5" r:id="rId3"/>
    <sheet name="Assets" sheetId="4" state="hidden" r:id="rId4"/>
  </sheets>
  <definedNames>
    <definedName name="_xlnm._FilterDatabase" localSheetId="0" hidden="1">Dataset!$B$3:$H$1003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 i="2" l="1"/>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BE2E42-0737-4C63-95D8-6EF3B668839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F48A8B9-1173-4703-9413-8842087B3DF3}"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DAA33917-7EF6-47C9-BF22-AE0216A39718}"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<sst xmlns="http://schemas.openxmlformats.org/spreadsheetml/2006/main" count="3153" uniqueCount="1071">
  <si>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</si>
  <si>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</si>
  <si>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</si>
  <si>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</si>
  <si>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</si>
  <si>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</si>
  <si>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</si>
  <si>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</si>
  <si>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</si>
  <si>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</si>
  <si>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</si>
  <si>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</si>
  <si>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</si>
  <si>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</si>
  <si>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</si>
  <si>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</si>
  <si>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</si>
  <si>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</si>
  <si>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</si>
  <si>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</si>
  <si>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</si>
  <si>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</si>
  <si>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</si>
  <si>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</si>
  <si>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</si>
  <si>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</si>
  <si>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</si>
  <si>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</si>
  <si>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</si>
  <si>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</si>
  <si>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</si>
  <si>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</si>
  <si>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</si>
  <si>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</si>
  <si>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</si>
  <si>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</si>
  <si>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</si>
  <si>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</si>
  <si>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</si>
  <si>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</si>
  <si>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</si>
  <si>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</si>
  <si>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</si>
  <si>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</si>
  <si>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</si>
  <si>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</si>
  <si>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</si>
  <si>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</si>
  <si>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</si>
  <si>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</si>
  <si>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</si>
  <si>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</si>
  <si>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</si>
  <si>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</si>
  <si>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</si>
  <si>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</si>
  <si>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</si>
  <si>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</si>
  <si>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</si>
  <si>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</si>
  <si>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</si>
  <si>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</si>
  <si>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</si>
  <si>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</si>
  <si>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</si>
  <si>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</si>
  <si>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</si>
  <si>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</si>
  <si>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</si>
  <si>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</si>
  <si>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</si>
  <si>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</si>
  <si>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</si>
  <si>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</si>
  <si>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</si>
  <si>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</si>
  <si>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</si>
  <si>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</si>
  <si>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</si>
  <si>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</si>
  <si>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</si>
  <si>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</si>
  <si>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</si>
  <si>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</si>
  <si>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</si>
  <si>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</si>
  <si>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</si>
  <si>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</si>
  <si>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</si>
  <si>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</si>
  <si>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</si>
  <si>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</si>
  <si>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</si>
  <si>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</si>
  <si>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</si>
  <si>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</si>
  <si>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</si>
  <si>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</si>
  <si>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</si>
  <si>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</si>
  <si>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</si>
  <si>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</si>
  <si>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</si>
  <si>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</si>
  <si>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</si>
  <si>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</si>
  <si>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</si>
  <si>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</si>
  <si>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</si>
  <si>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</si>
  <si>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</si>
  <si>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</si>
  <si>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</si>
  <si>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</si>
  <si>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</si>
  <si>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</si>
  <si>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</si>
  <si>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</si>
  <si>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</si>
  <si>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</si>
  <si>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</si>
  <si>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</si>
  <si>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</si>
  <si>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</si>
  <si>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</si>
  <si>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</si>
  <si>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</si>
  <si>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</si>
  <si>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</si>
  <si>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</si>
  <si>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</si>
  <si>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</si>
  <si>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</si>
  <si>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</si>
  <si>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</si>
  <si>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</si>
  <si>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</si>
  <si>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</si>
  <si>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</si>
  <si>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</si>
  <si>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</si>
  <si>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</si>
  <si>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</si>
  <si>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</si>
  <si>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</si>
  <si>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</si>
  <si>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</si>
  <si>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</si>
  <si>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</si>
  <si>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</si>
  <si>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</si>
  <si>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</si>
  <si>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</si>
  <si>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</si>
  <si>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</si>
  <si>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</si>
  <si>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</si>
  <si>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</si>
  <si>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</si>
  <si>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</si>
  <si>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</si>
  <si>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</si>
  <si>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</si>
  <si>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</si>
  <si>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</si>
  <si>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</si>
  <si>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</si>
  <si>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</si>
  <si>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</si>
  <si>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</si>
  <si>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</si>
  <si>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</si>
  <si>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</si>
  <si>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</si>
  <si>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</si>
  <si>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</si>
  <si>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</si>
  <si>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</si>
  <si>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</si>
  <si>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</si>
  <si>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</si>
  <si>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</si>
  <si>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</si>
  <si>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</si>
  <si>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</si>
  <si>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</si>
  <si>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</si>
  <si>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</si>
  <si>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</si>
  <si>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</si>
  <si>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</si>
  <si>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</si>
  <si>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</si>
  <si>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</si>
  <si>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</si>
  <si>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</si>
  <si>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</si>
  <si>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</si>
  <si>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</si>
  <si>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</si>
  <si>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</si>
  <si>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</si>
  <si>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</si>
  <si>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</si>
  <si>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</si>
  <si>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</si>
  <si>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</si>
  <si>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</si>
  <si>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</si>
  <si>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</si>
  <si>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</si>
  <si>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</si>
  <si>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</si>
  <si>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</si>
  <si>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</si>
  <si>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</si>
  <si>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</si>
  <si>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</si>
  <si>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</si>
  <si>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</si>
  <si>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</si>
  <si>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</si>
  <si>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</si>
  <si>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</si>
  <si>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</si>
  <si>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</si>
  <si>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</si>
  <si>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</si>
  <si>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</si>
  <si>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</si>
  <si>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</si>
  <si>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</si>
  <si>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</si>
  <si>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</si>
  <si>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</si>
  <si>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</si>
  <si>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</si>
  <si>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</si>
  <si>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</si>
  <si>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</si>
  <si>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</si>
  <si>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</si>
  <si>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</si>
  <si>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</si>
  <si>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</si>
  <si>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</si>
  <si>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</si>
  <si>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</si>
  <si>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</si>
  <si>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</si>
  <si>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</si>
  <si>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</si>
  <si>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</si>
  <si>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</si>
  <si>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</si>
  <si>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</si>
  <si>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</si>
  <si>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</si>
  <si>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</si>
  <si>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</si>
  <si>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</si>
  <si>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</si>
  <si>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</si>
  <si>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</si>
  <si>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</si>
  <si>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</si>
  <si>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</si>
  <si>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</si>
  <si>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</si>
  <si>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</si>
  <si>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</si>
  <si>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</si>
  <si>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</si>
  <si>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</si>
  <si>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</si>
  <si>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</si>
  <si>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</si>
  <si>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</si>
  <si>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</si>
  <si>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</si>
  <si>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</si>
  <si>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</si>
  <si>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</si>
  <si>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</si>
  <si>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</si>
  <si>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</si>
  <si>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</si>
  <si>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</si>
  <si>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</si>
  <si>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</si>
  <si>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</si>
  <si>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</si>
  <si>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</si>
  <si>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</si>
  <si>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</si>
  <si>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</si>
  <si>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</si>
  <si>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</si>
  <si>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</si>
  <si>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</si>
  <si>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</si>
  <si>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</si>
  <si>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</si>
  <si>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</si>
  <si>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</si>
  <si>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</si>
  <si>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</si>
  <si>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</si>
  <si>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</si>
  <si>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</si>
  <si>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</si>
  <si>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</si>
  <si>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</si>
  <si>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</si>
  <si>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</si>
  <si>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</si>
  <si>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</si>
  <si>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</si>
  <si>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</si>
  <si>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</si>
  <si>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</si>
  <si>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</si>
  <si>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</si>
  <si>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</si>
  <si>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</si>
  <si>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</si>
  <si>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</si>
  <si>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</si>
  <si>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</si>
  <si>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</si>
  <si>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</si>
  <si>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</si>
  <si>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</si>
  <si>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</si>
  <si>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</si>
  <si>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</si>
  <si>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</si>
  <si>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</si>
  <si>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</si>
  <si>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</si>
  <si>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</si>
  <si>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</si>
  <si>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</si>
  <si>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</si>
  <si>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</si>
  <si>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</si>
  <si>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</si>
  <si>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</si>
  <si>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</si>
  <si>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</si>
  <si>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</si>
  <si>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</si>
  <si>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</si>
  <si>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</si>
  <si>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</si>
  <si>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</si>
  <si>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</si>
  <si>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</si>
  <si>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</si>
  <si>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</si>
  <si>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</si>
  <si>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</si>
  <si>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</si>
  <si>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</si>
  <si>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</si>
  <si>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</si>
  <si>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</si>
  <si>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</si>
  <si>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</si>
  <si>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</si>
  <si>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</si>
  <si>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</si>
  <si>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</si>
  <si>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</si>
  <si>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</si>
  <si>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</si>
  <si>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</si>
  <si>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</si>
  <si>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</si>
  <si>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</si>
  <si>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</si>
  <si>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</si>
  <si>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</si>
  <si>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</si>
  <si>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</si>
  <si>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</si>
  <si>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</si>
  <si>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</si>
  <si>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</si>
  <si>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</si>
  <si>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</si>
  <si>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</si>
  <si>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</si>
  <si>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</si>
  <si>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</si>
  <si>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</si>
  <si>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</si>
  <si>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</si>
  <si>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</si>
  <si>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</si>
  <si>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</si>
  <si>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</si>
  <si>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</si>
  <si>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</si>
  <si>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</si>
  <si>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</si>
  <si>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</si>
  <si>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</si>
  <si>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</si>
  <si>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</si>
  <si>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</si>
  <si>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</si>
  <si>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</si>
  <si>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</si>
  <si>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</si>
  <si>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</si>
  <si>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</si>
  <si>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</si>
  <si>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</si>
  <si>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</si>
  <si>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</si>
  <si>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</si>
  <si>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</si>
  <si>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</si>
  <si>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</si>
  <si>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</si>
  <si>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</si>
  <si>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</si>
  <si>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</si>
  <si>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</si>
  <si>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</si>
  <si>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</si>
  <si>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</si>
  <si>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</si>
  <si>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</si>
  <si>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</si>
  <si>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</si>
  <si>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</si>
  <si>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</si>
  <si>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</si>
  <si>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</si>
  <si>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</si>
  <si>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</si>
  <si>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</si>
  <si>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</si>
  <si>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</si>
  <si>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</si>
  <si>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</si>
  <si>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</si>
  <si>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</si>
  <si>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</si>
  <si>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</si>
  <si>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</si>
  <si>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</si>
  <si>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</si>
  <si>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</si>
  <si>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</si>
  <si>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</si>
  <si>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</si>
  <si>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</si>
  <si>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</si>
  <si>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</si>
  <si>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</si>
  <si>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</si>
  <si>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</si>
  <si>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</si>
  <si>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</si>
  <si>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</si>
  <si>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</si>
  <si>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</si>
  <si>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</si>
  <si>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</si>
  <si>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</si>
  <si>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</si>
  <si>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</si>
  <si>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</si>
  <si>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</si>
  <si>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</si>
  <si>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</si>
  <si>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</si>
  <si>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</si>
  <si>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</si>
  <si>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</si>
  <si>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</si>
  <si>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</si>
  <si>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</si>
  <si>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</si>
  <si>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</si>
  <si>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</si>
  <si>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</si>
  <si>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</si>
  <si>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</si>
  <si>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</si>
  <si>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</si>
  <si>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</si>
  <si>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</si>
  <si>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</si>
  <si>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</si>
  <si>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</si>
  <si>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</si>
  <si>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</si>
  <si>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</si>
  <si>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</si>
  <si>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</si>
  <si>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</si>
  <si>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</si>
  <si>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</si>
  <si>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</si>
  <si>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</si>
  <si>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</si>
  <si>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</si>
  <si>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</si>
  <si>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</si>
  <si>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</si>
  <si>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</si>
  <si>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</si>
  <si>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</si>
  <si>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</si>
  <si>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</si>
  <si>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</si>
  <si>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</si>
  <si>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</si>
  <si>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</si>
  <si>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</si>
  <si>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</si>
  <si>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</si>
  <si>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</si>
  <si>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</si>
  <si>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</si>
  <si>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</si>
  <si>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</si>
  <si>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</si>
  <si>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</si>
  <si>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</si>
  <si>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</si>
  <si>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</si>
  <si>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</si>
  <si>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</si>
  <si>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</si>
  <si>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</si>
  <si>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</si>
  <si>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</si>
  <si>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</si>
  <si>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</si>
  <si>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</si>
  <si>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</si>
  <si>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</si>
  <si>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</si>
  <si>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</si>
  <si>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</si>
  <si>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</si>
  <si>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</si>
  <si>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</si>
  <si>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</si>
  <si>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</si>
  <si>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</si>
  <si>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</si>
  <si>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</si>
  <si>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</si>
  <si>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</si>
  <si>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</si>
  <si>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</si>
  <si>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</si>
  <si>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</si>
  <si>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</si>
  <si>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</si>
  <si>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</si>
  <si>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</si>
  <si>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</si>
  <si>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</si>
  <si>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</si>
  <si>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</si>
  <si>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</si>
  <si>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</si>
  <si>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</si>
  <si>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</si>
  <si>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</si>
  <si>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</si>
  <si>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</si>
  <si>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</si>
  <si>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</si>
  <si>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</si>
  <si>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</si>
  <si>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</si>
  <si>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</si>
  <si>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</si>
  <si>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</si>
  <si>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</si>
  <si>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</si>
  <si>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</si>
  <si>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</si>
  <si>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</si>
  <si>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</si>
  <si>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</si>
  <si>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</si>
  <si>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</si>
  <si>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</si>
  <si>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</si>
  <si>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</si>
  <si>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</si>
  <si>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</si>
  <si>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</si>
  <si>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</si>
  <si>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</si>
  <si>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</si>
  <si>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</si>
  <si>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</si>
  <si>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</si>
  <si>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</si>
  <si>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</si>
  <si>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</si>
  <si>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</si>
  <si>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</si>
  <si>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</si>
  <si>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</si>
  <si>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</si>
  <si>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</si>
  <si>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</si>
  <si>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</si>
  <si>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</si>
  <si>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</si>
  <si>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</si>
  <si>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</si>
  <si>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</si>
  <si>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</si>
  <si>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</si>
  <si>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</si>
  <si>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</si>
  <si>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</si>
  <si>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</si>
  <si>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</si>
  <si>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</si>
  <si>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</si>
  <si>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</si>
  <si>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</si>
  <si>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</si>
  <si>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</si>
  <si>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</si>
  <si>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</si>
  <si>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</si>
  <si>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</si>
  <si>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</si>
  <si>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</si>
  <si>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</si>
  <si>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</si>
  <si>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</si>
  <si>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</si>
  <si>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</si>
  <si>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</si>
  <si>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</si>
  <si>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</si>
  <si>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</si>
  <si>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</si>
  <si>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</si>
  <si>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</si>
  <si>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</si>
  <si>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</si>
  <si>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</si>
  <si>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</si>
  <si>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</si>
  <si>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</si>
  <si>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</si>
  <si>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</si>
  <si>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</si>
  <si>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</si>
  <si>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</si>
  <si>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</si>
  <si>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</si>
  <si>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</si>
  <si>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</si>
  <si>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</si>
  <si>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</si>
  <si>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</si>
  <si>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</si>
  <si>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</si>
  <si>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</si>
  <si>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</si>
  <si>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</si>
  <si>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</si>
  <si>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</si>
  <si>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</si>
  <si>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</si>
  <si>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</si>
  <si>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</si>
  <si>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</si>
  <si>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</si>
  <si>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</si>
  <si>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</si>
  <si>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</si>
  <si>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</si>
  <si>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</si>
  <si>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</si>
  <si>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</si>
  <si>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</si>
  <si>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</si>
  <si>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</si>
  <si>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</si>
  <si>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</si>
  <si>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</si>
  <si>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</si>
  <si>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</si>
  <si>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</si>
  <si>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</si>
  <si>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</si>
  <si>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</si>
  <si>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</si>
  <si>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</si>
  <si>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</si>
  <si>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</si>
  <si>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</si>
  <si>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</si>
  <si>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</si>
  <si>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</si>
  <si>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</si>
  <si>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</si>
  <si>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</si>
  <si>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</si>
  <si>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</si>
  <si>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</si>
  <si>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</si>
  <si>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</si>
  <si>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</si>
  <si>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</si>
  <si>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</si>
  <si>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</si>
  <si>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</si>
  <si>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</si>
  <si>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</si>
  <si>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</si>
  <si>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</si>
  <si>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</si>
  <si>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</si>
  <si>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</si>
  <si>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</si>
  <si>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</si>
  <si>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</si>
  <si>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</si>
  <si>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</si>
  <si>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</si>
  <si>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</si>
  <si>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</si>
  <si>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</si>
  <si>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</si>
  <si>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</si>
  <si>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</si>
  <si>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</si>
  <si>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</si>
  <si>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</si>
  <si>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</si>
  <si>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</si>
  <si>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</si>
  <si>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</si>
  <si>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</si>
  <si>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</si>
  <si>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</si>
  <si>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</si>
  <si>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</si>
  <si>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</si>
  <si>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</si>
  <si>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</si>
  <si>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</si>
  <si>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</si>
  <si>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</si>
  <si>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</si>
  <si>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</si>
  <si>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</si>
  <si>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</si>
  <si>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</si>
  <si>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</si>
  <si>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</si>
  <si>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</si>
  <si>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</si>
  <si>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</si>
  <si>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</si>
  <si>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</si>
  <si>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</si>
  <si>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</si>
  <si>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</si>
  <si>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</si>
  <si>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</si>
  <si>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</si>
  <si>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</si>
  <si>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</si>
  <si>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</si>
  <si>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</si>
  <si>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</si>
  <si>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</si>
  <si>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</si>
  <si>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</si>
  <si>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</si>
  <si>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</si>
  <si>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</si>
  <si>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</si>
  <si>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</si>
  <si>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</si>
  <si>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</si>
  <si>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</si>
  <si>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</si>
  <si>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</si>
  <si>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</si>
  <si>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</si>
  <si>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</si>
  <si>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</si>
  <si>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</si>
  <si>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</si>
  <si>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</si>
  <si>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</si>
  <si>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</si>
  <si>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</si>
  <si>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</si>
  <si>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</si>
  <si>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</si>
  <si>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</si>
  <si>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</si>
  <si>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</si>
  <si>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</si>
  <si>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</si>
  <si>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</si>
  <si>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</si>
  <si>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</si>
  <si>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</si>
  <si>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</si>
  <si>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</si>
  <si>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</si>
  <si>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</si>
  <si>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</si>
  <si>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</si>
  <si>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</si>
  <si>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</si>
  <si>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</si>
  <si>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</si>
  <si>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</si>
  <si>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</si>
  <si>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</si>
  <si>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</si>
  <si>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</si>
  <si>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</si>
  <si>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</si>
  <si>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</si>
  <si>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</si>
  <si>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</si>
  <si>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</si>
  <si>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</si>
  <si>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</si>
  <si>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</si>
  <si>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</si>
  <si>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</si>
  <si>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</si>
  <si>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</si>
  <si>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</si>
  <si>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</si>
  <si>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</si>
  <si>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</si>
  <si>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</si>
  <si>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</si>
  <si>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</si>
  <si>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</si>
  <si>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</si>
  <si>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</si>
  <si>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</si>
  <si>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</si>
  <si>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</si>
  <si>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</si>
  <si>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</si>
  <si>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</si>
  <si>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</si>
  <si>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</si>
  <si>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</si>
  <si>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</si>
  <si>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</si>
  <si>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</si>
  <si>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</si>
  <si>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</si>
  <si>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</si>
  <si>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</si>
  <si>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</si>
  <si>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</si>
  <si>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</si>
  <si>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</si>
  <si>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</si>
  <si>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</si>
  <si>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</si>
  <si>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</si>
  <si>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</si>
  <si>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</si>
  <si>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</si>
  <si>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</si>
  <si>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</si>
  <si>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</si>
  <si>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</si>
  <si>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</si>
  <si>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</si>
  <si>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</si>
  <si>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</si>
  <si>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</si>
  <si>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</si>
  <si>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</si>
  <si>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</si>
  <si>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</si>
  <si>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</si>
  <si>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</si>
  <si>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</si>
  <si>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</si>
  <si>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</si>
  <si>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</si>
  <si>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</si>
  <si>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</si>
  <si>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</si>
  <si>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</si>
  <si>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</si>
  <si>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</si>
  <si>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</si>
  <si>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</si>
  <si>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</si>
  <si>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</si>
  <si>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</si>
  <si>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</si>
  <si>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</si>
  <si>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</si>
  <si>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</si>
  <si>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</si>
  <si>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</si>
  <si>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</si>
  <si>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</si>
  <si>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</si>
  <si>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</si>
  <si>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</si>
  <si>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</si>
  <si>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</si>
  <si>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</si>
  <si>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</si>
  <si>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</si>
  <si>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</si>
  <si>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</si>
  <si>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</si>
  <si>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</si>
  <si>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</si>
  <si>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</si>
  <si>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</si>
  <si>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</si>
  <si>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</si>
  <si>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</si>
  <si>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</si>
  <si>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</si>
  <si>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</si>
  <si>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</si>
  <si>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</si>
  <si>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</si>
  <si>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</si>
  <si>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</si>
  <si>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</si>
  <si>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</si>
  <si>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</si>
  <si>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</si>
  <si>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</si>
  <si>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</si>
  <si>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</si>
  <si>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</si>
  <si>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</si>
  <si>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</si>
  <si>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</si>
  <si>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</si>
  <si>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</si>
  <si>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</si>
  <si>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</si>
  <si>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</si>
  <si>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</si>
  <si>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</si>
  <si>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</si>
  <si>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</si>
  <si>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</si>
  <si>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</si>
  <si>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</si>
  <si>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</si>
  <si>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</si>
  <si>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</si>
  <si>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</si>
  <si>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</si>
  <si>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</si>
  <si>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</si>
  <si>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</si>
  <si>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</si>
  <si>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</si>
  <si>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</si>
  <si>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</si>
  <si>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</si>
  <si>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</si>
  <si>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</si>
  <si>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</si>
  <si>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</si>
  <si>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</si>
  <si>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</si>
  <si>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</si>
  <si>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</si>
  <si>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</si>
  <si>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</si>
  <si>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</si>
  <si>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</si>
  <si>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</si>
  <si>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</si>
  <si>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</si>
  <si>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</si>
  <si>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</si>
  <si>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</si>
  <si>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</si>
  <si>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</si>
  <si>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</si>
  <si>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</si>
  <si>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</si>
  <si>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</si>
  <si>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</si>
  <si>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</si>
  <si>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</si>
  <si>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</si>
  <si>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</si>
  <si>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</si>
  <si>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</si>
  <si>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</si>
  <si>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</si>
  <si>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</si>
  <si>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</si>
  <si>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</si>
  <si>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</si>
  <si>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</si>
  <si>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</si>
  <si>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</si>
  <si>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</si>
  <si>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</si>
  <si>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</si>
  <si>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</si>
  <si>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</si>
  <si>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</si>
  <si>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</si>
  <si>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</si>
  <si>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</si>
  <si>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</si>
  <si>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</si>
  <si>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</si>
  <si>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</si>
  <si>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</si>
  <si>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</si>
  <si>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Rows Count</t>
  </si>
  <si>
    <t>Total Purchase</t>
  </si>
  <si>
    <t>Total Duration</t>
  </si>
  <si>
    <t>Average Rating</t>
  </si>
  <si>
    <t>Happy Customers</t>
  </si>
  <si>
    <t>Monday</t>
  </si>
  <si>
    <t>Wednesday</t>
  </si>
  <si>
    <t>Thursday</t>
  </si>
  <si>
    <t>Sunday</t>
  </si>
  <si>
    <t>Tuesday</t>
  </si>
  <si>
    <t>Friday</t>
  </si>
  <si>
    <t>Saturday</t>
  </si>
  <si>
    <t>Happy Customer Percent</t>
  </si>
  <si>
    <t>Grand Total</t>
  </si>
  <si>
    <t>Jan</t>
  </si>
  <si>
    <t>Feb</t>
  </si>
  <si>
    <t>Mar</t>
  </si>
  <si>
    <t>Apr</t>
  </si>
  <si>
    <t>May</t>
  </si>
  <si>
    <t>Jun</t>
  </si>
  <si>
    <t>Jul</t>
  </si>
  <si>
    <t>Aug</t>
  </si>
  <si>
    <t>Sep</t>
  </si>
  <si>
    <t>Oct</t>
  </si>
  <si>
    <t>Nov</t>
  </si>
  <si>
    <t>Dec</t>
  </si>
  <si>
    <t>Row Labels</t>
  </si>
  <si>
    <t>Count of Call number</t>
  </si>
  <si>
    <t>Column Labels</t>
  </si>
  <si>
    <t>I-One Call Centre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</si>
</sst>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mmm\-yy;@"/>
    <numFmt numFmtId="165" formatCode="\$#,##0;\(\$#,##0\);\$#,##0"/>
  </numFmts>
  <fonts count="4"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s>
  <fills count="4">
    <fill>
      <patternFill patternType="none"/>
    </fill>
    <fill>
      <patternFill patternType="gray125"/>
    </fill>
    <fill>
      <patternFill patternType="solid">
        <fgColor theme="7"/>
        <bgColor indexed="64"/>
      </patternFill>
    </fill>
    <fill>
      <patternFill patternType="solid">
        <fgColor them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7">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5">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styles" Target="style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theme" Target="theme/theme1.xml"/><Relationship Id="rId23" Type="http://schemas.microsoft.com/office/2017/06/relationships/rdRichValueTypes" Target="richData/rdRichValueTypes.xml"/><Relationship Id="rId10" Type="http://schemas.openxmlformats.org/officeDocument/2006/relationships/pivotCacheDefinition" Target="pivotCache/pivotCacheDefinition6.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[Dataset.xlsx]Pivots!PivotTable1</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monthly calls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Pivots!$B$22</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Pivots!$B$23:$B$35</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9915-41B8-B1DD-BA65CD03AD21}"/>
            </c:ext>
          </c:extLst>
        </c:ser>
        <c:dLbls>
          <c:dLblPos val="t"/>
          <c:showLegendKey val="0"/>
          <c:showVal val="1"/>
          <c:showCatName val="0"/>
          <c:showSerName val="0"/>
          <c:showPercent val="0"/>
          <c:showBubbleSize val="0"/>
        </c:dLbls>
        <c:marker val="1"/>
        <c:smooth val="0"/>
        <c:axId val="1191582079"/>
        <c:axId val="606253711"/>
      </c:lineChart>
      <c:catAx>
        <c:axId val="1191582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06253711"/>
        <c:crosses val="autoZero"/>
        <c:auto val="1"/>
        <c:lblAlgn val="ctr"/>
        <c:lblOffset val="100"/>
        <c:noMultiLvlLbl val="0"/>
      </c:catAx>
      <c:valAx>
        <c:axId val="606253711"/>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58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[Dataset.xlsx]Pivots!PivotTable2</c:name>
    <c:fmtId val="22"/>
  </c:pivotSource>
  <c:chart>
    <c:title>
      <c:tx>
        <c:rich>
          <a:bodyPr rot="0" spcFirstLastPara="1" vertOverflow="ellipsis" vert="horz" wrap="square" anchor="ctr" anchorCtr="1"/>
          <a:lstStyle/>
          <a:p>
            <a:pPr lvl="1" algn="ctr" rtl="0">
              <a:defRPr sz="1600" b="1" i="0" u="none" strike="noStrike" kern="1200" spc="0" baseline="0">
                <a:solidFill>
                  <a:sysClr val="windowText" lastClr="000000">
                    <a:lumMod val="65000"/>
                    <a:lumOff val="35000"/>
                  </a:sysClr>
                </a:solidFill>
                <a:latin typeface="+mn-lt"/>
                <a:ea typeface="+mn-ea"/>
                <a:cs typeface="+mn-cs"/>
              </a:defRPr>
            </a:pPr>
            <a:r>
              <a:rPr lang="en-US" sz="1600" b="1"/>
              <a:t>WEEKLY</a:t>
            </a:r>
            <a:r>
              <a:rPr lang="en-US" sz="1600" b="1" baseline="0"/>
              <a:t> CALLS</a:t>
            </a:r>
            <a:endParaRPr lang="en-US" sz="1600" b="1"/>
          </a:p>
        </c:rich>
      </c:tx>
      <c:overlay val="0"/>
      <c:spPr>
        <a:noFill/>
        <a:ln>
          <a:noFill/>
        </a:ln>
        <a:effectLst/>
      </c:spPr>
      <c:txPr>
        <a:bodyPr rot="0" spcFirstLastPara="1" vertOverflow="ellipsis" vert="horz" wrap="square" anchor="ctr" anchorCtr="1"/>
        <a:lstStyle/>
        <a:p>
          <a:pPr lvl="1" algn="ctr" rtl="0">
            <a:defRPr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Pivots!$G$22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Pivots!$F$23:$F$30</c:f>
              <c:strCache>
                <c:ptCount val="7"/>
                <c:pt idx="0">
                  <c:v>Thursday</c:v>
                </c:pt>
                <c:pt idx="1">
                  <c:v>Monday</c:v>
                </c:pt>
                <c:pt idx="2">
                  <c:v>Tuesday</c:v>
                </c:pt>
                <c:pt idx="3">
                  <c:v>Friday</c:v>
                </c:pt>
                <c:pt idx="4">
                  <c:v>Sunday</c:v>
                </c:pt>
                <c:pt idx="5">
                  <c:v>Wednesday</c:v>
                </c:pt>
                <c:pt idx="6">
                  <c:v>Saturday</c:v>
                </c:pt>
              </c:strCache>
            </c:strRef>
          </c:cat>
          <c:val>
            <c:numRef>
              <c:f>Pivots!$G$23:$G$30</c:f>
              <c:numCache>
                <c:formatCode>General</c:formatCode>
                <c:ptCount val="7"/>
                <c:pt idx="0">
                  <c:v>128</c:v>
                </c:pt>
                <c:pt idx="1">
                  <c:v>133</c:v>
                </c:pt>
                <c:pt idx="2">
                  <c:v>138</c:v>
                </c:pt>
                <c:pt idx="3">
                  <c:v>141</c:v>
                </c:pt>
                <c:pt idx="4">
                  <c:v>146</c:v>
                </c:pt>
                <c:pt idx="5">
                  <c:v>153</c:v>
                </c:pt>
                <c:pt idx="6">
                  <c:v>161</c:v>
                </c:pt>
              </c:numCache>
            </c:numRef>
          </c:val>
          <c:extLst>
            <c:ext xmlns:c16="http://schemas.microsoft.com/office/drawing/2014/chart" uri="{C3380CC4-5D6E-409C-BE32-E72D297353CC}">
              <c16:uniqueId val="{00000000-D144-4444-BEEE-1FBDE2818123}"/>
            </c:ext>
          </c:extLst>
        </c:ser>
        <c:dLbls>
          <c:dLblPos val="outEnd"/>
          <c:showLegendKey val="0"/>
          <c:showVal val="1"/>
          <c:showCatName val="0"/>
          <c:showSerName val="0"/>
          <c:showPercent val="0"/>
          <c:showBubbleSize val="0"/>
        </c:dLbls>
        <c:gapWidth val="47"/>
        <c:axId val="1240714207"/>
        <c:axId val="2052441136"/>
      </c:barChart>
      <c:catAx>
        <c:axId val="1240714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tx1">
                    <a:lumMod val="65000"/>
                    <a:lumOff val="35000"/>
                  </a:schemeClr>
                </a:solidFill>
                <a:latin typeface="+mn-lt"/>
                <a:ea typeface="+mn-ea"/>
                <a:cs typeface="+mn-cs"/>
              </a:defRPr>
            </a:pPr>
            <a:endParaRPr lang="en-US"/>
          </a:p>
        </c:txPr>
        <c:crossAx val="2052441136"/>
        <c:crosses val="autoZero"/>
        <c:auto val="1"/>
        <c:lblAlgn val="ctr"/>
        <c:lblOffset val="100"/>
        <c:noMultiLvlLbl val="0"/>
      </c:catAx>
      <c:valAx>
        <c:axId val="2052441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71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[Dataset.xlsx]Pivots!PivotTable4</c:name>
    <c:fmtId val="3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Female vs Male Callers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876274682498355E-2"/>
          <c:y val="9.7650054727812893E-2"/>
          <c:w val="0.79476327544557368"/>
          <c:h val="0.81304085598766951"/>
        </c:manualLayout>
      </c:layout>
      <c:barChart>
        <c:barDir val="col"/>
        <c:grouping val="stacked"/>
        <c:varyColors val="0"/>
        <c:ser>
          <c:idx val="0"/>
          <c:order val="0"/>
          <c:tx>
            <c:strRef>
              <c:f>Pivots!$B$47:$B$48</c:f>
              <c:strCache>
                <c:ptCount val="1"/>
                <c:pt idx="0">
                  <c:v>Female</c:v>
                </c:pt>
              </c:strCache>
            </c:strRef>
          </c:tx>
          <c:spPr>
            <a:solidFill>
              <a:schemeClr val="accent1">
                <a:shade val="76000"/>
              </a:schemeClr>
            </a:solid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Pivots!$A$49:$A$52</c:f>
              <c:strCache>
                <c:ptCount val="3"/>
                <c:pt idx="0">
                  <c:v>Cincinnati</c:v>
                </c:pt>
                <c:pt idx="1">
                  <c:v>Cleveland</c:v>
                </c:pt>
                <c:pt idx="2">
                  <c:v>Columbus</c:v>
                </c:pt>
              </c:strCache>
            </c:strRef>
          </c:cat>
          <c:val>
            <c:numRef>
              <c:f>Pivots!$B$49:$B$52</c:f>
              <c:numCache>
                <c:formatCode>#,##0</c:formatCode>
                <c:ptCount val="3"/>
                <c:pt idx="0">
                  <c:v>144</c:v>
                </c:pt>
                <c:pt idx="1">
                  <c:v>326</c:v>
                </c:pt>
                <c:pt idx="2">
                  <c:v>129</c:v>
                </c:pt>
              </c:numCache>
            </c:numRef>
          </c:val>
          <c:extLst>
            <c:ext xmlns:c16="http://schemas.microsoft.com/office/drawing/2014/chart" uri="{C3380CC4-5D6E-409C-BE32-E72D297353CC}">
              <c16:uniqueId val="{00000000-8AF1-4A85-A6C9-A94247F0AAB3}"/>
            </c:ext>
          </c:extLst>
        </c:ser>
        <c:ser>
          <c:idx val="1"/>
          <c:order val="1"/>
          <c:tx>
            <c:strRef>
              <c:f>Pivots!$C$47:$C$48</c:f>
              <c:strCache>
                <c:ptCount val="1"/>
                <c:pt idx="0">
                  <c:v>Male</c:v>
                </c:pt>
              </c:strCache>
            </c:strRef>
          </c:tx>
          <c:spPr>
            <a:solidFill>
              <a:schemeClr val="accent1">
                <a:tint val="77000"/>
              </a:schemeClr>
            </a:solid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Pivots!$A$49:$A$52</c:f>
              <c:strCache>
                <c:ptCount val="3"/>
                <c:pt idx="0">
                  <c:v>Cincinnati</c:v>
                </c:pt>
                <c:pt idx="1">
                  <c:v>Cleveland</c:v>
                </c:pt>
                <c:pt idx="2">
                  <c:v>Columbus</c:v>
                </c:pt>
              </c:strCache>
            </c:strRef>
          </c:cat>
          <c:val>
            <c:numRef>
              <c:f>Pivots!$C$49:$C$52</c:f>
              <c:numCache>
                <c:formatCode>#,##0</c:formatCode>
                <c:ptCount val="3"/>
                <c:pt idx="0">
                  <c:v>132</c:v>
                </c:pt>
                <c:pt idx="1">
                  <c:v>63</c:v>
                </c:pt>
                <c:pt idx="2">
                  <c:v>206</c:v>
                </c:pt>
              </c:numCache>
            </c:numRef>
          </c:val>
          <c:extLst>
            <c:ext xmlns:c16="http://schemas.microsoft.com/office/drawing/2014/chart" uri="{C3380CC4-5D6E-409C-BE32-E72D297353CC}">
              <c16:uniqueId val="{00000001-8AF1-4A85-A6C9-A94247F0AAB3}"/>
            </c:ext>
          </c:extLst>
        </c:ser>
        <c:dLbls>
          <c:dLblPos val="ctr"/>
          <c:showLegendKey val="0"/>
          <c:showVal val="1"/>
          <c:showCatName val="0"/>
          <c:showSerName val="0"/>
          <c:showPercent val="0"/>
          <c:showBubbleSize val="0"/>
        </c:dLbls>
        <c:gapWidth val="150"/>
        <c:overlap val="100"/>
        <c:axId val="420179359"/>
        <c:axId val="420175999"/>
      </c:barChart>
      <c:catAx>
        <c:axId val="420179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175999"/>
        <c:crosses val="autoZero"/>
        <c:auto val="1"/>
        <c:lblAlgn val="ctr"/>
        <c:lblOffset val="100"/>
        <c:noMultiLvlLbl val="0"/>
      </c:catAx>
      <c:valAx>
        <c:axId val="420175999"/>
        <c:scaling>
          <c:orientation val="minMax"/>
        </c:scaling>
        <c:delete val="1"/>
        <c:axPos val="l"/>
        <c:numFmt formatCode="#,##0" sourceLinked="1"/>
        <c:majorTickMark val="none"/>
        <c:minorTickMark val="none"/>
        <c:tickLblPos val="nextTo"/>
        <c:crossAx val="42017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[Dataset.xlsx]Pivots!PivotTable5</c:name>
    <c:fmtId val="1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Rating</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087306616334407E-2"/>
          <c:y val="0.21313838681372979"/>
          <c:w val="0.81929497946412155"/>
          <c:h val="0.65683698804995327"/>
        </c:manualLayout>
      </c:layout>
      <c:barChart>
        <c:barDir val="col"/>
        <c:grouping val="stacked"/>
        <c:varyColors val="0"/>
        <c:ser>
          <c:idx val="0"/>
          <c:order val="0"/>
          <c:tx>
            <c:strRef>
              <c:f>Pivots!$B$56</c:f>
              <c:strCache>
                <c:ptCount val="1"/>
                <c:pt idx="0">
                  <c:v>Total</c:v>
                </c:pt>
              </c:strCache>
            </c:strRef>
          </c:tx>
          <c:spPr>
            <a:solidFill>
              <a:schemeClr val="accent1"/>
            </a:solidFill>
            <a:ln>
              <a:noFill/>
            </a:ln>
            <a:effectLst/>
          </c:spPr>
          <c:invertIfNegative val="0"/>
          <c:cat>
            <c:strRef>
              <c:f>Pivots!$A$57:$A$63</c:f>
              <c:strCache>
                <c:ptCount val="6"/>
                <c:pt idx="0">
                  <c:v>0</c:v>
                </c:pt>
                <c:pt idx="1">
                  <c:v>1</c:v>
                </c:pt>
                <c:pt idx="2">
                  <c:v>2</c:v>
                </c:pt>
                <c:pt idx="3">
                  <c:v>3</c:v>
                </c:pt>
                <c:pt idx="4">
                  <c:v>4</c:v>
                </c:pt>
                <c:pt idx="5">
                  <c:v>5</c:v>
                </c:pt>
              </c:strCache>
            </c:strRef>
          </c:cat>
          <c:val>
            <c:numRef>
              <c:f>Pivots!$B$57:$B$63</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7098-454D-ADE6-0C5BAF7AF78A}"/>
            </c:ext>
          </c:extLst>
        </c:ser>
        <c:dLbls>
          <c:showLegendKey val="0"/>
          <c:showVal val="0"/>
          <c:showCatName val="0"/>
          <c:showSerName val="0"/>
          <c:showPercent val="0"/>
          <c:showBubbleSize val="0"/>
        </c:dLbls>
        <c:gapWidth val="86"/>
        <c:overlap val="30"/>
        <c:axId val="566815759"/>
        <c:axId val="566804239"/>
      </c:barChart>
      <c:catAx>
        <c:axId val="56681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804239"/>
        <c:crosses val="autoZero"/>
        <c:auto val="1"/>
        <c:lblAlgn val="ctr"/>
        <c:lblOffset val="100"/>
        <c:noMultiLvlLbl val="0"/>
      </c:catAx>
      <c:valAx>
        <c:axId val="566804239"/>
        <c:scaling>
          <c:orientation val="minMax"/>
        </c:scaling>
        <c:delete val="1"/>
        <c:axPos val="l"/>
        <c:numFmt formatCode="#,##0" sourceLinked="1"/>
        <c:majorTickMark val="none"/>
        <c:minorTickMark val="none"/>
        <c:tickLblPos val="nextTo"/>
        <c:crossAx val="56681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17.svg"/><Relationship Id="rId3" Type="http://schemas.openxmlformats.org/officeDocument/2006/relationships/image" Target="../media/image12.png"/><Relationship Id="rId7" Type="http://schemas.openxmlformats.org/officeDocument/2006/relationships/image" Target="../media/image16.png"/><Relationship Id="rId12" Type="http://schemas.openxmlformats.org/officeDocument/2006/relationships/image" Target="../media/image11.svg"/><Relationship Id="rId2" Type="http://schemas.openxmlformats.org/officeDocument/2006/relationships/image" Target="../media/image15.svg"/><Relationship Id="rId1" Type="http://schemas.openxmlformats.org/officeDocument/2006/relationships/image" Target="../media/image14.png"/><Relationship Id="rId6" Type="http://schemas.openxmlformats.org/officeDocument/2006/relationships/image" Target="../media/image9.svg"/><Relationship Id="rId11" Type="http://schemas.openxmlformats.org/officeDocument/2006/relationships/image" Target="../media/image10.png"/><Relationship Id="rId5" Type="http://schemas.openxmlformats.org/officeDocument/2006/relationships/image" Target="../media/image8.png"/><Relationship Id="rId10" Type="http://schemas.openxmlformats.org/officeDocument/2006/relationships/image" Target="../media/image7.svg"/><Relationship Id="rId4" Type="http://schemas.openxmlformats.org/officeDocument/2006/relationships/image" Target="../media/image13.svg"/><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9</xdr:col>
      <xdr:colOff>167640</xdr:colOff>
      <xdr:row>0</xdr:row>
      <xdr:rowOff>53341</xdr:rowOff>
    </xdr:from>
    <xdr:to>
      <xdr:col>11</xdr:col>
      <xdr:colOff>350520</xdr:colOff>
      <xdr:row>10</xdr:row>
      <xdr:rowOff>7621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481FCC69-5825-2547-8DFE-AEA704A665AB}"/>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713220" y="53341"/>
              <a:ext cx="1828800" cy="1783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251460</xdr:colOff>
      <xdr:row>2</xdr:row>
      <xdr:rowOff>45720</xdr:rowOff>
    </xdr:from>
    <xdr:to>
      <xdr:col>3</xdr:col>
      <xdr:colOff>594360</xdr:colOff>
      <xdr:row>7</xdr:row>
      <xdr:rowOff>68580</xdr:rowOff>
    </xdr:to>
    <xdr:sp macro="" textlink="Pivots!A4">
      <xdr:nvSpPr>
        <xdr:cNvPr id="2" name="Rectangle: Rounded Corners 1">
          <a:extLst>
            <a:ext uri="{FF2B5EF4-FFF2-40B4-BE49-F238E27FC236}">
              <a16:creationId xmlns:a16="http://schemas.microsoft.com/office/drawing/2014/main" id="{1D17A0F5-13EF-42AC-DD04-B10D4744687D}"/>
            </a:ext>
          </a:extLst>
        </xdr:cNvPr>
        <xdr:cNvSpPr/>
      </xdr:nvSpPr>
      <xdr:spPr>
        <a:xfrm>
          <a:off x="373380" y="411480"/>
          <a:ext cx="1684020" cy="937260"/>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C12A127-CD43-466D-B685-F0FCA997C756}" type="TxLink">
            <a:rPr lang="en-US" sz="2000" b="0" i="0" u="none" strike="noStrike">
              <a:solidFill>
                <a:schemeClr val="bg2"/>
              </a:solidFill>
              <a:latin typeface="ADLaM Display" panose="02010000000000000000" pitchFamily="2" charset="0"/>
              <a:ea typeface="ADLaM Display" panose="02010000000000000000" pitchFamily="2" charset="0"/>
              <a:cs typeface="ADLaM Display" panose="02010000000000000000" pitchFamily="2" charset="0"/>
            </a:rPr>
            <a:pPr algn="ctr"/>
            <a:t>1,000</a:t>
          </a:fld>
          <a:endParaRPr lang="en-US" sz="2000">
            <a:solidFill>
              <a:schemeClr val="bg2"/>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xdr:col>
      <xdr:colOff>342900</xdr:colOff>
      <xdr:row>2</xdr:row>
      <xdr:rowOff>114300</xdr:rowOff>
    </xdr:from>
    <xdr:to>
      <xdr:col>3</xdr:col>
      <xdr:colOff>502920</xdr:colOff>
      <xdr:row>3</xdr:row>
      <xdr:rowOff>160020</xdr:rowOff>
    </xdr:to>
    <xdr:sp macro="" textlink="">
      <xdr:nvSpPr>
        <xdr:cNvPr id="3" name="TextBox 2">
          <a:extLst>
            <a:ext uri="{FF2B5EF4-FFF2-40B4-BE49-F238E27FC236}">
              <a16:creationId xmlns:a16="http://schemas.microsoft.com/office/drawing/2014/main" id="{7CAA51B7-C165-4A69-F8F7-D267CCE304B4}"/>
            </a:ext>
          </a:extLst>
        </xdr:cNvPr>
        <xdr:cNvSpPr txBox="1"/>
      </xdr:nvSpPr>
      <xdr:spPr>
        <a:xfrm>
          <a:off x="464820" y="480060"/>
          <a:ext cx="150114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2"/>
              </a:solidFill>
            </a:rPr>
            <a:t>Calls</a:t>
          </a:r>
        </a:p>
      </xdr:txBody>
    </xdr:sp>
    <xdr:clientData/>
  </xdr:twoCellAnchor>
  <xdr:twoCellAnchor editAs="oneCell">
    <xdr:from>
      <xdr:col>1</xdr:col>
      <xdr:colOff>655320</xdr:colOff>
      <xdr:row>2</xdr:row>
      <xdr:rowOff>106681</xdr:rowOff>
    </xdr:from>
    <xdr:to>
      <xdr:col>2</xdr:col>
      <xdr:colOff>195615</xdr:colOff>
      <xdr:row>3</xdr:row>
      <xdr:rowOff>129540</xdr:rowOff>
    </xdr:to>
    <xdr:pic>
      <xdr:nvPicPr>
        <xdr:cNvPr id="4" name="Graphic 3" descr="Receiver with solid fill">
          <a:extLst>
            <a:ext uri="{FF2B5EF4-FFF2-40B4-BE49-F238E27FC236}">
              <a16:creationId xmlns:a16="http://schemas.microsoft.com/office/drawing/2014/main" id="{5948C883-4B31-431E-83E8-E9ABC9DB083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7240" y="472441"/>
          <a:ext cx="210855" cy="205739"/>
        </a:xfrm>
        <a:prstGeom prst="rect">
          <a:avLst/>
        </a:prstGeom>
      </xdr:spPr>
    </xdr:pic>
    <xdr:clientData/>
  </xdr:twoCellAnchor>
  <xdr:twoCellAnchor>
    <xdr:from>
      <xdr:col>1</xdr:col>
      <xdr:colOff>632460</xdr:colOff>
      <xdr:row>5</xdr:row>
      <xdr:rowOff>167640</xdr:rowOff>
    </xdr:from>
    <xdr:to>
      <xdr:col>3</xdr:col>
      <xdr:colOff>236220</xdr:colOff>
      <xdr:row>6</xdr:row>
      <xdr:rowOff>175260</xdr:rowOff>
    </xdr:to>
    <xdr:sp macro="" textlink="Pivots!A15">
      <xdr:nvSpPr>
        <xdr:cNvPr id="6" name="Rectangle 5">
          <a:extLst>
            <a:ext uri="{FF2B5EF4-FFF2-40B4-BE49-F238E27FC236}">
              <a16:creationId xmlns:a16="http://schemas.microsoft.com/office/drawing/2014/main" id="{E3DB0297-8563-A4BA-5674-F4844F764452}"/>
            </a:ext>
          </a:extLst>
        </xdr:cNvPr>
        <xdr:cNvSpPr/>
      </xdr:nvSpPr>
      <xdr:spPr>
        <a:xfrm>
          <a:off x="754380" y="1082040"/>
          <a:ext cx="944880" cy="1905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BAB155-9AAF-4516-BDBF-6B0A16DA2078}" type="TxLink">
            <a:rPr lang="en-US" sz="1100" b="0" i="0" u="none" strike="noStrike">
              <a:solidFill>
                <a:schemeClr val="bg2"/>
              </a:solidFill>
              <a:latin typeface="Aptos"/>
            </a:rPr>
            <a:pPr algn="ctr"/>
            <a:t>1,000</a:t>
          </a:fld>
          <a:endParaRPr lang="en-US" sz="1100">
            <a:solidFill>
              <a:schemeClr val="bg2"/>
            </a:solidFill>
          </a:endParaRPr>
        </a:p>
      </xdr:txBody>
    </xdr:sp>
    <xdr:clientData/>
  </xdr:twoCellAnchor>
  <xdr:twoCellAnchor>
    <xdr:from>
      <xdr:col>1</xdr:col>
      <xdr:colOff>251460</xdr:colOff>
      <xdr:row>8</xdr:row>
      <xdr:rowOff>0</xdr:rowOff>
    </xdr:from>
    <xdr:to>
      <xdr:col>3</xdr:col>
      <xdr:colOff>594360</xdr:colOff>
      <xdr:row>13</xdr:row>
      <xdr:rowOff>22860</xdr:rowOff>
    </xdr:to>
    <xdr:sp macro="" textlink="Pivots!B4">
      <xdr:nvSpPr>
        <xdr:cNvPr id="8" name="Rectangle: Rounded Corners 7">
          <a:extLst>
            <a:ext uri="{FF2B5EF4-FFF2-40B4-BE49-F238E27FC236}">
              <a16:creationId xmlns:a16="http://schemas.microsoft.com/office/drawing/2014/main" id="{3C430456-FFCE-4DD2-A8F7-D1F7AD60CD60}"/>
            </a:ext>
          </a:extLst>
        </xdr:cNvPr>
        <xdr:cNvSpPr/>
      </xdr:nvSpPr>
      <xdr:spPr>
        <a:xfrm>
          <a:off x="373380" y="1463040"/>
          <a:ext cx="1684020" cy="937260"/>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C134506-D4D0-42D2-84E3-706130054CDE}" type="TxLink">
            <a:rPr lang="en-US" sz="2000" b="0" i="0" u="none" strike="noStrike">
              <a:solidFill>
                <a:schemeClr val="bg2"/>
              </a:solidFill>
              <a:latin typeface="ADLaM Display" panose="02010000000000000000" pitchFamily="2" charset="0"/>
              <a:ea typeface="ADLaM Display" panose="02010000000000000000" pitchFamily="2" charset="0"/>
              <a:cs typeface="ADLaM Display" panose="02010000000000000000" pitchFamily="2" charset="0"/>
            </a:rPr>
            <a:pPr algn="ctr"/>
            <a:t>$96,623</a:t>
          </a:fld>
          <a:endParaRPr lang="en-US" sz="2000">
            <a:solidFill>
              <a:schemeClr val="bg2"/>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xdr:col>
      <xdr:colOff>495300</xdr:colOff>
      <xdr:row>8</xdr:row>
      <xdr:rowOff>68580</xdr:rowOff>
    </xdr:from>
    <xdr:to>
      <xdr:col>3</xdr:col>
      <xdr:colOff>502920</xdr:colOff>
      <xdr:row>9</xdr:row>
      <xdr:rowOff>144780</xdr:rowOff>
    </xdr:to>
    <xdr:sp macro="" textlink="">
      <xdr:nvSpPr>
        <xdr:cNvPr id="9" name="TextBox 8">
          <a:extLst>
            <a:ext uri="{FF2B5EF4-FFF2-40B4-BE49-F238E27FC236}">
              <a16:creationId xmlns:a16="http://schemas.microsoft.com/office/drawing/2014/main" id="{674ED11E-83E5-44D0-A007-CB0E7FE14188}"/>
            </a:ext>
          </a:extLst>
        </xdr:cNvPr>
        <xdr:cNvSpPr txBox="1"/>
      </xdr:nvSpPr>
      <xdr:spPr>
        <a:xfrm>
          <a:off x="617220" y="1531620"/>
          <a:ext cx="13487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2"/>
              </a:solidFill>
            </a:rPr>
            <a:t>Purchases</a:t>
          </a:r>
        </a:p>
      </xdr:txBody>
    </xdr:sp>
    <xdr:clientData/>
  </xdr:twoCellAnchor>
  <xdr:twoCellAnchor>
    <xdr:from>
      <xdr:col>1</xdr:col>
      <xdr:colOff>632460</xdr:colOff>
      <xdr:row>11</xdr:row>
      <xdr:rowOff>121920</xdr:rowOff>
    </xdr:from>
    <xdr:to>
      <xdr:col>3</xdr:col>
      <xdr:colOff>236220</xdr:colOff>
      <xdr:row>12</xdr:row>
      <xdr:rowOff>129540</xdr:rowOff>
    </xdr:to>
    <xdr:sp macro="" textlink="Pivots!B15">
      <xdr:nvSpPr>
        <xdr:cNvPr id="11" name="Rectangle 10">
          <a:extLst>
            <a:ext uri="{FF2B5EF4-FFF2-40B4-BE49-F238E27FC236}">
              <a16:creationId xmlns:a16="http://schemas.microsoft.com/office/drawing/2014/main" id="{8AEF97DD-22FB-4961-ACB8-88CAD0CC2841}"/>
            </a:ext>
          </a:extLst>
        </xdr:cNvPr>
        <xdr:cNvSpPr/>
      </xdr:nvSpPr>
      <xdr:spPr>
        <a:xfrm>
          <a:off x="754380" y="2133600"/>
          <a:ext cx="944880" cy="1905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74A180-0537-4492-AC85-10E399A98D12}" type="TxLink">
            <a:rPr lang="en-US" sz="1100" b="0" i="0" u="none" strike="noStrike">
              <a:solidFill>
                <a:schemeClr val="bg2"/>
              </a:solidFill>
              <a:latin typeface="Aptos"/>
            </a:rPr>
            <a:pPr algn="ctr"/>
            <a:t>$96,623</a:t>
          </a:fld>
          <a:endParaRPr lang="en-US" sz="1100">
            <a:solidFill>
              <a:schemeClr val="bg2"/>
            </a:solidFill>
          </a:endParaRPr>
        </a:p>
      </xdr:txBody>
    </xdr:sp>
    <xdr:clientData/>
  </xdr:twoCellAnchor>
  <xdr:twoCellAnchor editAs="oneCell">
    <xdr:from>
      <xdr:col>1</xdr:col>
      <xdr:colOff>548639</xdr:colOff>
      <xdr:row>8</xdr:row>
      <xdr:rowOff>60960</xdr:rowOff>
    </xdr:from>
    <xdr:to>
      <xdr:col>2</xdr:col>
      <xdr:colOff>117902</xdr:colOff>
      <xdr:row>9</xdr:row>
      <xdr:rowOff>109175</xdr:rowOff>
    </xdr:to>
    <xdr:pic>
      <xdr:nvPicPr>
        <xdr:cNvPr id="16" name="Graphic 15" descr="Shopping cart with solid fill">
          <a:extLst>
            <a:ext uri="{FF2B5EF4-FFF2-40B4-BE49-F238E27FC236}">
              <a16:creationId xmlns:a16="http://schemas.microsoft.com/office/drawing/2014/main" id="{0166D83B-A1CC-49DD-9869-144013E880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70559" y="1524000"/>
          <a:ext cx="239823" cy="231095"/>
        </a:xfrm>
        <a:prstGeom prst="rect">
          <a:avLst/>
        </a:prstGeom>
      </xdr:spPr>
    </xdr:pic>
    <xdr:clientData/>
  </xdr:twoCellAnchor>
  <xdr:twoCellAnchor>
    <xdr:from>
      <xdr:col>1</xdr:col>
      <xdr:colOff>266700</xdr:colOff>
      <xdr:row>13</xdr:row>
      <xdr:rowOff>121920</xdr:rowOff>
    </xdr:from>
    <xdr:to>
      <xdr:col>3</xdr:col>
      <xdr:colOff>609600</xdr:colOff>
      <xdr:row>18</xdr:row>
      <xdr:rowOff>144780</xdr:rowOff>
    </xdr:to>
    <xdr:sp macro="" textlink="Pivots!C4">
      <xdr:nvSpPr>
        <xdr:cNvPr id="17" name="Rectangle: Rounded Corners 16">
          <a:extLst>
            <a:ext uri="{FF2B5EF4-FFF2-40B4-BE49-F238E27FC236}">
              <a16:creationId xmlns:a16="http://schemas.microsoft.com/office/drawing/2014/main" id="{4FB4ECB9-A177-4764-A2FE-F422549B4FE3}"/>
            </a:ext>
          </a:extLst>
        </xdr:cNvPr>
        <xdr:cNvSpPr/>
      </xdr:nvSpPr>
      <xdr:spPr>
        <a:xfrm>
          <a:off x="388620" y="2499360"/>
          <a:ext cx="1684020" cy="937260"/>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AAEC92-8B88-4227-969A-49CC1CE3BC6E}" type="TxLink">
            <a:rPr lang="en-US" sz="2000" b="0" i="0" u="none" strike="noStrike">
              <a:solidFill>
                <a:schemeClr val="bg1"/>
              </a:solidFill>
              <a:latin typeface="+mj-lt"/>
              <a:ea typeface="ADLaM Display" panose="02010000000000000000" pitchFamily="2" charset="0"/>
              <a:cs typeface="ADLaM Display" panose="02010000000000000000" pitchFamily="2" charset="0"/>
            </a:rPr>
            <a:pPr algn="ctr"/>
            <a:t>89,850</a:t>
          </a:fld>
          <a:endParaRPr lang="en-US" sz="2000">
            <a:solidFill>
              <a:schemeClr val="bg1"/>
            </a:solidFill>
            <a:latin typeface="+mj-lt"/>
            <a:ea typeface="ADLaM Display" panose="02010000000000000000" pitchFamily="2" charset="0"/>
            <a:cs typeface="ADLaM Display" panose="02010000000000000000" pitchFamily="2" charset="0"/>
          </a:endParaRPr>
        </a:p>
      </xdr:txBody>
    </xdr:sp>
    <xdr:clientData/>
  </xdr:twoCellAnchor>
  <xdr:twoCellAnchor>
    <xdr:from>
      <xdr:col>1</xdr:col>
      <xdr:colOff>510540</xdr:colOff>
      <xdr:row>14</xdr:row>
      <xdr:rowOff>7620</xdr:rowOff>
    </xdr:from>
    <xdr:to>
      <xdr:col>3</xdr:col>
      <xdr:colOff>518160</xdr:colOff>
      <xdr:row>15</xdr:row>
      <xdr:rowOff>83820</xdr:rowOff>
    </xdr:to>
    <xdr:sp macro="" textlink="">
      <xdr:nvSpPr>
        <xdr:cNvPr id="18" name="TextBox 17">
          <a:extLst>
            <a:ext uri="{FF2B5EF4-FFF2-40B4-BE49-F238E27FC236}">
              <a16:creationId xmlns:a16="http://schemas.microsoft.com/office/drawing/2014/main" id="{B2B152DB-4FE9-474A-BD50-20504B6A6485}"/>
            </a:ext>
          </a:extLst>
        </xdr:cNvPr>
        <xdr:cNvSpPr txBox="1"/>
      </xdr:nvSpPr>
      <xdr:spPr>
        <a:xfrm>
          <a:off x="632460" y="2567940"/>
          <a:ext cx="13487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2"/>
              </a:solidFill>
            </a:rPr>
            <a:t>Duration</a:t>
          </a:r>
        </a:p>
      </xdr:txBody>
    </xdr:sp>
    <xdr:clientData/>
  </xdr:twoCellAnchor>
  <xdr:twoCellAnchor>
    <xdr:from>
      <xdr:col>1</xdr:col>
      <xdr:colOff>647700</xdr:colOff>
      <xdr:row>17</xdr:row>
      <xdr:rowOff>60960</xdr:rowOff>
    </xdr:from>
    <xdr:to>
      <xdr:col>3</xdr:col>
      <xdr:colOff>251460</xdr:colOff>
      <xdr:row>18</xdr:row>
      <xdr:rowOff>68580</xdr:rowOff>
    </xdr:to>
    <xdr:sp macro="" textlink="Pivots!C15">
      <xdr:nvSpPr>
        <xdr:cNvPr id="19" name="Rectangle 18">
          <a:extLst>
            <a:ext uri="{FF2B5EF4-FFF2-40B4-BE49-F238E27FC236}">
              <a16:creationId xmlns:a16="http://schemas.microsoft.com/office/drawing/2014/main" id="{7DB27DE3-72C4-4A49-A799-905D7AD1D9B9}"/>
            </a:ext>
          </a:extLst>
        </xdr:cNvPr>
        <xdr:cNvSpPr/>
      </xdr:nvSpPr>
      <xdr:spPr>
        <a:xfrm>
          <a:off x="769620" y="3169920"/>
          <a:ext cx="944880" cy="1905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D03F1DB-63BC-4262-8CF5-965FA4EB06C8}" type="TxLink">
            <a:rPr lang="en-US" sz="1100" b="0" i="0" u="none" strike="noStrike">
              <a:solidFill>
                <a:schemeClr val="bg1"/>
              </a:solidFill>
              <a:latin typeface="Aptos"/>
            </a:rPr>
            <a:pPr algn="ctr"/>
            <a:t>89,850</a:t>
          </a:fld>
          <a:endParaRPr lang="en-US" sz="1100">
            <a:solidFill>
              <a:schemeClr val="bg1"/>
            </a:solidFill>
          </a:endParaRPr>
        </a:p>
      </xdr:txBody>
    </xdr:sp>
    <xdr:clientData/>
  </xdr:twoCellAnchor>
  <xdr:twoCellAnchor>
    <xdr:from>
      <xdr:col>1</xdr:col>
      <xdr:colOff>254847</xdr:colOff>
      <xdr:row>19</xdr:row>
      <xdr:rowOff>60960</xdr:rowOff>
    </xdr:from>
    <xdr:to>
      <xdr:col>3</xdr:col>
      <xdr:colOff>597747</xdr:colOff>
      <xdr:row>24</xdr:row>
      <xdr:rowOff>83820</xdr:rowOff>
    </xdr:to>
    <xdr:sp macro="" textlink="Pivots!D4">
      <xdr:nvSpPr>
        <xdr:cNvPr id="21" name="Rectangle: Rounded Corners 20">
          <a:extLst>
            <a:ext uri="{FF2B5EF4-FFF2-40B4-BE49-F238E27FC236}">
              <a16:creationId xmlns:a16="http://schemas.microsoft.com/office/drawing/2014/main" id="{598BE92A-D433-480D-870E-8DA52E0A4BBE}"/>
            </a:ext>
          </a:extLst>
        </xdr:cNvPr>
        <xdr:cNvSpPr/>
      </xdr:nvSpPr>
      <xdr:spPr>
        <a:xfrm>
          <a:off x="373380" y="3600027"/>
          <a:ext cx="1680634" cy="954193"/>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83028B8-C4F5-4A36-B044-F4A0BB9A851D}" type="TxLink">
            <a:rPr lang="en-US" sz="2000" b="0" i="0" u="none" strike="noStrike">
              <a:solidFill>
                <a:schemeClr val="bg1"/>
              </a:solidFill>
              <a:latin typeface="+mj-lt"/>
              <a:ea typeface="ADLaM Display" panose="02010000000000000000" pitchFamily="2" charset="0"/>
              <a:cs typeface="ADLaM Display" panose="02010000000000000000" pitchFamily="2" charset="0"/>
            </a:rPr>
            <a:pPr algn="ctr"/>
            <a:t>3.89</a:t>
          </a:fld>
          <a:endParaRPr lang="en-US" sz="2000">
            <a:solidFill>
              <a:schemeClr val="bg1"/>
            </a:solidFill>
            <a:latin typeface="+mj-lt"/>
            <a:ea typeface="ADLaM Display" panose="02010000000000000000" pitchFamily="2" charset="0"/>
            <a:cs typeface="ADLaM Display" panose="02010000000000000000" pitchFamily="2" charset="0"/>
          </a:endParaRPr>
        </a:p>
      </xdr:txBody>
    </xdr:sp>
    <xdr:clientData/>
  </xdr:twoCellAnchor>
  <xdr:twoCellAnchor>
    <xdr:from>
      <xdr:col>1</xdr:col>
      <xdr:colOff>498687</xdr:colOff>
      <xdr:row>19</xdr:row>
      <xdr:rowOff>129540</xdr:rowOff>
    </xdr:from>
    <xdr:to>
      <xdr:col>3</xdr:col>
      <xdr:colOff>506307</xdr:colOff>
      <xdr:row>21</xdr:row>
      <xdr:rowOff>22860</xdr:rowOff>
    </xdr:to>
    <xdr:sp macro="" textlink="">
      <xdr:nvSpPr>
        <xdr:cNvPr id="22" name="TextBox 21">
          <a:extLst>
            <a:ext uri="{FF2B5EF4-FFF2-40B4-BE49-F238E27FC236}">
              <a16:creationId xmlns:a16="http://schemas.microsoft.com/office/drawing/2014/main" id="{A5D17FE8-7F43-43E4-8757-F4F9523D0B04}"/>
            </a:ext>
          </a:extLst>
        </xdr:cNvPr>
        <xdr:cNvSpPr txBox="1"/>
      </xdr:nvSpPr>
      <xdr:spPr>
        <a:xfrm>
          <a:off x="617220" y="3668607"/>
          <a:ext cx="1345354" cy="265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2"/>
              </a:solidFill>
            </a:rPr>
            <a:t>Avg Rating</a:t>
          </a:r>
        </a:p>
      </xdr:txBody>
    </xdr:sp>
    <xdr:clientData/>
  </xdr:twoCellAnchor>
  <xdr:twoCellAnchor>
    <xdr:from>
      <xdr:col>1</xdr:col>
      <xdr:colOff>634154</xdr:colOff>
      <xdr:row>23</xdr:row>
      <xdr:rowOff>0</xdr:rowOff>
    </xdr:from>
    <xdr:to>
      <xdr:col>3</xdr:col>
      <xdr:colOff>239607</xdr:colOff>
      <xdr:row>24</xdr:row>
      <xdr:rowOff>7620</xdr:rowOff>
    </xdr:to>
    <xdr:sp macro="" textlink="Pivots!D15">
      <xdr:nvSpPr>
        <xdr:cNvPr id="23" name="Rectangle 22">
          <a:extLst>
            <a:ext uri="{FF2B5EF4-FFF2-40B4-BE49-F238E27FC236}">
              <a16:creationId xmlns:a16="http://schemas.microsoft.com/office/drawing/2014/main" id="{1A95719C-5BBF-49E8-8F22-697DF848CD63}"/>
            </a:ext>
          </a:extLst>
        </xdr:cNvPr>
        <xdr:cNvSpPr/>
      </xdr:nvSpPr>
      <xdr:spPr>
        <a:xfrm>
          <a:off x="752687" y="4284133"/>
          <a:ext cx="943187" cy="19388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196615A-6739-4E29-84FC-5A8D1A6D6F18}" type="TxLink">
            <a:rPr lang="en-US" sz="1100" b="0" i="0" u="none" strike="noStrike">
              <a:solidFill>
                <a:schemeClr val="bg1"/>
              </a:solidFill>
              <a:latin typeface="Aptos"/>
            </a:rPr>
            <a:pPr algn="ctr"/>
            <a:t>3.89</a:t>
          </a:fld>
          <a:endParaRPr lang="en-US" sz="1100">
            <a:solidFill>
              <a:schemeClr val="bg1"/>
            </a:solidFill>
          </a:endParaRPr>
        </a:p>
      </xdr:txBody>
    </xdr:sp>
    <xdr:clientData/>
  </xdr:twoCellAnchor>
  <xdr:twoCellAnchor>
    <xdr:from>
      <xdr:col>1</xdr:col>
      <xdr:colOff>259927</xdr:colOff>
      <xdr:row>24</xdr:row>
      <xdr:rowOff>160020</xdr:rowOff>
    </xdr:from>
    <xdr:to>
      <xdr:col>3</xdr:col>
      <xdr:colOff>601133</xdr:colOff>
      <xdr:row>30</xdr:row>
      <xdr:rowOff>0</xdr:rowOff>
    </xdr:to>
    <xdr:sp macro="" textlink="Pivots!E4">
      <xdr:nvSpPr>
        <xdr:cNvPr id="25" name="Rectangle: Rounded Corners 24">
          <a:extLst>
            <a:ext uri="{FF2B5EF4-FFF2-40B4-BE49-F238E27FC236}">
              <a16:creationId xmlns:a16="http://schemas.microsoft.com/office/drawing/2014/main" id="{E5B975BB-7183-4BE6-AFAC-E92F0D35F185}"/>
            </a:ext>
          </a:extLst>
        </xdr:cNvPr>
        <xdr:cNvSpPr/>
      </xdr:nvSpPr>
      <xdr:spPr>
        <a:xfrm>
          <a:off x="378460" y="4630420"/>
          <a:ext cx="1678940" cy="957580"/>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BAAACE-80F6-4A9B-9AF0-5FF25E5C8172}" type="TxLink">
            <a:rPr lang="en-US" sz="2000" b="0" i="0" u="none" strike="noStrike">
              <a:solidFill>
                <a:schemeClr val="bg1"/>
              </a:solidFill>
              <a:latin typeface="+mj-lt"/>
              <a:ea typeface="ADLaM Display" panose="02010000000000000000" pitchFamily="2" charset="0"/>
              <a:cs typeface="ADLaM Display" panose="02010000000000000000" pitchFamily="2" charset="0"/>
            </a:rPr>
            <a:pPr algn="ctr"/>
            <a:t>307</a:t>
          </a:fld>
          <a:endParaRPr lang="en-US" sz="2000">
            <a:solidFill>
              <a:schemeClr val="bg1"/>
            </a:solidFill>
            <a:latin typeface="+mj-lt"/>
            <a:ea typeface="ADLaM Display" panose="02010000000000000000" pitchFamily="2" charset="0"/>
            <a:cs typeface="ADLaM Display" panose="02010000000000000000" pitchFamily="2" charset="0"/>
          </a:endParaRPr>
        </a:p>
      </xdr:txBody>
    </xdr:sp>
    <xdr:clientData/>
  </xdr:twoCellAnchor>
  <xdr:twoCellAnchor>
    <xdr:from>
      <xdr:col>1</xdr:col>
      <xdr:colOff>571500</xdr:colOff>
      <xdr:row>25</xdr:row>
      <xdr:rowOff>45720</xdr:rowOff>
    </xdr:from>
    <xdr:to>
      <xdr:col>3</xdr:col>
      <xdr:colOff>579120</xdr:colOff>
      <xdr:row>26</xdr:row>
      <xdr:rowOff>121920</xdr:rowOff>
    </xdr:to>
    <xdr:sp macro="" textlink="">
      <xdr:nvSpPr>
        <xdr:cNvPr id="26" name="TextBox 25">
          <a:extLst>
            <a:ext uri="{FF2B5EF4-FFF2-40B4-BE49-F238E27FC236}">
              <a16:creationId xmlns:a16="http://schemas.microsoft.com/office/drawing/2014/main" id="{EFE4E1AC-EDD9-481A-87C5-76133F1C0C3A}"/>
            </a:ext>
          </a:extLst>
        </xdr:cNvPr>
        <xdr:cNvSpPr txBox="1"/>
      </xdr:nvSpPr>
      <xdr:spPr>
        <a:xfrm>
          <a:off x="693420" y="4617720"/>
          <a:ext cx="13487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2"/>
              </a:solidFill>
            </a:rPr>
            <a:t>Happy Customers</a:t>
          </a:r>
        </a:p>
      </xdr:txBody>
    </xdr:sp>
    <xdr:clientData/>
  </xdr:twoCellAnchor>
  <xdr:twoCellAnchor>
    <xdr:from>
      <xdr:col>1</xdr:col>
      <xdr:colOff>630767</xdr:colOff>
      <xdr:row>28</xdr:row>
      <xdr:rowOff>115994</xdr:rowOff>
    </xdr:from>
    <xdr:to>
      <xdr:col>3</xdr:col>
      <xdr:colOff>236220</xdr:colOff>
      <xdr:row>29</xdr:row>
      <xdr:rowOff>123614</xdr:rowOff>
    </xdr:to>
    <xdr:sp macro="" textlink="Pivots!E15">
      <xdr:nvSpPr>
        <xdr:cNvPr id="27" name="Rectangle 26">
          <a:extLst>
            <a:ext uri="{FF2B5EF4-FFF2-40B4-BE49-F238E27FC236}">
              <a16:creationId xmlns:a16="http://schemas.microsoft.com/office/drawing/2014/main" id="{0E45C72C-C879-4152-886D-B03A00A6B94E}"/>
            </a:ext>
          </a:extLst>
        </xdr:cNvPr>
        <xdr:cNvSpPr/>
      </xdr:nvSpPr>
      <xdr:spPr>
        <a:xfrm>
          <a:off x="749300" y="5331461"/>
          <a:ext cx="943187" cy="193886"/>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B83DF2C-8B6C-469C-890A-C23945BE6933}" type="TxLink">
            <a:rPr lang="en-US" sz="1100" b="0" i="0" u="none" strike="noStrike">
              <a:solidFill>
                <a:schemeClr val="bg1"/>
              </a:solidFill>
              <a:latin typeface="Aptos"/>
            </a:rPr>
            <a:pPr algn="ctr"/>
            <a:t>307</a:t>
          </a:fld>
          <a:endParaRPr lang="en-US" sz="1100">
            <a:solidFill>
              <a:schemeClr val="bg1"/>
            </a:solidFill>
          </a:endParaRPr>
        </a:p>
      </xdr:txBody>
    </xdr:sp>
    <xdr:clientData/>
  </xdr:twoCellAnchor>
  <xdr:twoCellAnchor editAs="oneCell">
    <xdr:from>
      <xdr:col>1</xdr:col>
      <xdr:colOff>465668</xdr:colOff>
      <xdr:row>19</xdr:row>
      <xdr:rowOff>76200</xdr:rowOff>
    </xdr:from>
    <xdr:to>
      <xdr:col>2</xdr:col>
      <xdr:colOff>152527</xdr:colOff>
      <xdr:row>21</xdr:row>
      <xdr:rowOff>50801</xdr:rowOff>
    </xdr:to>
    <xdr:pic>
      <xdr:nvPicPr>
        <xdr:cNvPr id="5" name="Graphic 4" descr="Rating Star with solid fill">
          <a:extLst>
            <a:ext uri="{FF2B5EF4-FFF2-40B4-BE49-F238E27FC236}">
              <a16:creationId xmlns:a16="http://schemas.microsoft.com/office/drawing/2014/main" id="{4B4C2368-60C0-4FAA-9686-DB27381011F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584201" y="3615267"/>
          <a:ext cx="355726" cy="347134"/>
        </a:xfrm>
        <a:prstGeom prst="rect">
          <a:avLst/>
        </a:prstGeom>
      </xdr:spPr>
    </xdr:pic>
    <xdr:clientData/>
  </xdr:twoCellAnchor>
  <xdr:twoCellAnchor editAs="oneCell">
    <xdr:from>
      <xdr:col>1</xdr:col>
      <xdr:colOff>584201</xdr:colOff>
      <xdr:row>13</xdr:row>
      <xdr:rowOff>169332</xdr:rowOff>
    </xdr:from>
    <xdr:to>
      <xdr:col>2</xdr:col>
      <xdr:colOff>186267</xdr:colOff>
      <xdr:row>15</xdr:row>
      <xdr:rowOff>64446</xdr:rowOff>
    </xdr:to>
    <xdr:pic>
      <xdr:nvPicPr>
        <xdr:cNvPr id="7" name="Graphic 6" descr="Hourglass Finished with solid fill">
          <a:extLst>
            <a:ext uri="{FF2B5EF4-FFF2-40B4-BE49-F238E27FC236}">
              <a16:creationId xmlns:a16="http://schemas.microsoft.com/office/drawing/2014/main" id="{72720751-6027-4793-9703-3EA365F7365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02734" y="2590799"/>
          <a:ext cx="270933" cy="267647"/>
        </a:xfrm>
        <a:prstGeom prst="rect">
          <a:avLst/>
        </a:prstGeom>
      </xdr:spPr>
    </xdr:pic>
    <xdr:clientData/>
  </xdr:twoCellAnchor>
  <xdr:twoCellAnchor editAs="oneCell">
    <xdr:from>
      <xdr:col>1</xdr:col>
      <xdr:colOff>414867</xdr:colOff>
      <xdr:row>25</xdr:row>
      <xdr:rowOff>50800</xdr:rowOff>
    </xdr:from>
    <xdr:to>
      <xdr:col>1</xdr:col>
      <xdr:colOff>660400</xdr:colOff>
      <xdr:row>26</xdr:row>
      <xdr:rowOff>104110</xdr:rowOff>
    </xdr:to>
    <xdr:pic>
      <xdr:nvPicPr>
        <xdr:cNvPr id="10" name="Graphic 9" descr="Star-struck face outline with solid fill">
          <a:extLst>
            <a:ext uri="{FF2B5EF4-FFF2-40B4-BE49-F238E27FC236}">
              <a16:creationId xmlns:a16="http://schemas.microsoft.com/office/drawing/2014/main" id="{0CA57352-7600-48A5-8710-2BE5D399015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33400" y="4707467"/>
          <a:ext cx="245533" cy="239576"/>
        </a:xfrm>
        <a:prstGeom prst="rect">
          <a:avLst/>
        </a:prstGeom>
      </xdr:spPr>
    </xdr:pic>
    <xdr:clientData/>
  </xdr:twoCellAnchor>
  <xdr:twoCellAnchor editAs="oneCell">
    <xdr:from>
      <xdr:col>16</xdr:col>
      <xdr:colOff>630886</xdr:colOff>
      <xdr:row>1</xdr:row>
      <xdr:rowOff>95080</xdr:rowOff>
    </xdr:from>
    <xdr:to>
      <xdr:col>19</xdr:col>
      <xdr:colOff>450722</xdr:colOff>
      <xdr:row>10</xdr:row>
      <xdr:rowOff>169124</xdr:rowOff>
    </xdr:to>
    <mc:AlternateContent xmlns:mc="http://schemas.openxmlformats.org/markup-compatibility/2006" xmlns:a14="http://schemas.microsoft.com/office/drawing/2010/main">
      <mc:Choice Requires="a14">
        <xdr:graphicFrame macro="">
          <xdr:nvGraphicFramePr>
            <xdr:cNvPr id="12" name="Representative 1">
              <a:extLst>
                <a:ext uri="{FF2B5EF4-FFF2-40B4-BE49-F238E27FC236}">
                  <a16:creationId xmlns:a16="http://schemas.microsoft.com/office/drawing/2014/main" id="{37C3D369-EFE9-4EF7-9132-1375EE708BD3}"/>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10857147" y="282819"/>
              <a:ext cx="1840792" cy="1763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84667</xdr:colOff>
      <xdr:row>1</xdr:row>
      <xdr:rowOff>135466</xdr:rowOff>
    </xdr:from>
    <xdr:to>
      <xdr:col>10</xdr:col>
      <xdr:colOff>643467</xdr:colOff>
      <xdr:row>16</xdr:row>
      <xdr:rowOff>84666</xdr:rowOff>
    </xdr:to>
    <xdr:graphicFrame macro="">
      <xdr:nvGraphicFramePr>
        <xdr:cNvPr id="13" name="Chart 12">
          <a:extLst>
            <a:ext uri="{FF2B5EF4-FFF2-40B4-BE49-F238E27FC236}">
              <a16:creationId xmlns:a16="http://schemas.microsoft.com/office/drawing/2014/main" id="{4618955C-B720-4B20-BBAC-2ECE05121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93134</xdr:colOff>
      <xdr:row>16</xdr:row>
      <xdr:rowOff>152399</xdr:rowOff>
    </xdr:from>
    <xdr:to>
      <xdr:col>10</xdr:col>
      <xdr:colOff>650327</xdr:colOff>
      <xdr:row>29</xdr:row>
      <xdr:rowOff>127000</xdr:rowOff>
    </xdr:to>
    <xdr:graphicFrame macro="">
      <xdr:nvGraphicFramePr>
        <xdr:cNvPr id="14" name="Chart 13">
          <a:extLst>
            <a:ext uri="{FF2B5EF4-FFF2-40B4-BE49-F238E27FC236}">
              <a16:creationId xmlns:a16="http://schemas.microsoft.com/office/drawing/2014/main" id="{C2C99A6F-6D22-4B9A-AF2F-AB7E97D17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31151</xdr:colOff>
      <xdr:row>1</xdr:row>
      <xdr:rowOff>98535</xdr:rowOff>
    </xdr:from>
    <xdr:to>
      <xdr:col>16</xdr:col>
      <xdr:colOff>597776</xdr:colOff>
      <xdr:row>16</xdr:row>
      <xdr:rowOff>65688</xdr:rowOff>
    </xdr:to>
    <xdr:graphicFrame macro="">
      <xdr:nvGraphicFramePr>
        <xdr:cNvPr id="20" name="Chart 19">
          <a:extLst>
            <a:ext uri="{FF2B5EF4-FFF2-40B4-BE49-F238E27FC236}">
              <a16:creationId xmlns:a16="http://schemas.microsoft.com/office/drawing/2014/main" id="{872547E2-0246-4285-8DC8-A91FB7AC1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20959</xdr:colOff>
      <xdr:row>16</xdr:row>
      <xdr:rowOff>131379</xdr:rowOff>
    </xdr:from>
    <xdr:to>
      <xdr:col>16</xdr:col>
      <xdr:colOff>604346</xdr:colOff>
      <xdr:row>29</xdr:row>
      <xdr:rowOff>128530</xdr:rowOff>
    </xdr:to>
    <xdr:graphicFrame macro="">
      <xdr:nvGraphicFramePr>
        <xdr:cNvPr id="24" name="Chart 23">
          <a:extLst>
            <a:ext uri="{FF2B5EF4-FFF2-40B4-BE49-F238E27FC236}">
              <a16:creationId xmlns:a16="http://schemas.microsoft.com/office/drawing/2014/main" id="{62D46F80-FBC3-4835-9939-E09B560F7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aam Allah" refreshedDate="46103.628543749997" backgroundQuery="1" createdVersion="8" refreshedVersion="8" minRefreshableVersion="3" recordCount="0" supportSubquery="1" supportAdvancedDrill="1" xr:uid="{457D87E3-DB13-4733-B1E1-F33ED14656B7}">
  <cacheSource type="external" connectionId="1"/>
  <cacheFields count="4">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Rows Count]" caption="Rows Count" numFmtId="0" hierarchy="17" level="32767"/>
    <cacheField name="[calls].[Representative].[Representative]" caption="Representative" numFmtId="0" hierarchy="3" level="1">
      <sharedItems containsSemiMixedTypes="0" containsNonDate="0" containsString="0"/>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Rows Count]" caption="Rows Count" measure="1" displayFolder="" measureGroup="calls" count="0" oneField="1">
      <fieldsUsage count="1">
        <fieldUsage x="2"/>
      </fieldsUsage>
    </cacheHierarchy>
    <cacheHierarchy uniqueName="[Measures].[Total Purchase]" caption="Total Purchase"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Happy Customer Percent]" caption="Happy Customer Percent" measure="1" displayFolder="" measureGroup="calls" count="0"/>
    <cacheHierarchy uniqueName="[Measures].[Male Count]" caption="Male Count" measure="1" displayFolder="" measureGroup="customers" count="0"/>
    <cacheHierarchy uniqueName="[Measures].[Female Count]" caption="Female Count" measure="1" displayFolder="" measureGroup="customer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aam Allah" refreshedDate="46102.689923611113" backgroundQuery="1" createdVersion="8" refreshedVersion="8" minRefreshableVersion="3" recordCount="0" supportSubquery="1" supportAdvancedDrill="1" xr:uid="{B43F1833-8E42-45EB-8379-3C59B82A1784}">
  <cacheSource type="external" connectionId="1"/>
  <cacheFields count="5">
    <cacheField name="[Measures].[Rows Count]" caption="Rows Count" numFmtId="0" hierarchy="17" level="32767"/>
    <cacheField name="[Measures].[Total Purchase]" caption="Total Purchase" numFmtId="0" hierarchy="18" level="32767"/>
    <cacheField name="[Measures].[Total Duration]" caption="Total Duration" numFmtId="0" hierarchy="19" level="32767"/>
    <cacheField name="[Measures].[Average Rating]" caption="Average Rating" numFmtId="0" hierarchy="20" level="32767"/>
    <cacheField name="[Measures].[Happy Customers]" caption="Happy Customers" numFmtId="0" hierarchy="21"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Rows Count]" caption="Rows Count" measure="1" displayFolder="" measureGroup="calls" count="0" oneField="1">
      <fieldsUsage count="1">
        <fieldUsage x="0"/>
      </fieldsUsage>
    </cacheHierarchy>
    <cacheHierarchy uniqueName="[Measures].[Total Purchase]" caption="Total Purchase"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Happy Customers]" caption="Happy Customers" measure="1" displayFolder="" measureGroup="calls" count="0" oneField="1">
      <fieldsUsage count="1">
        <fieldUsage x="4"/>
      </fieldsUsage>
    </cacheHierarchy>
    <cacheHierarchy uniqueName="[Measures].[Happy Customer Percent]" caption="Happy Customer Percent" measure="1" displayFolder="" measureGroup="calls" count="0"/>
    <cacheHierarchy uniqueName="[Measures].[Male Count]" caption="Male Count" measure="1" displayFolder="" measureGroup="customers" count="0"/>
    <cacheHierarchy uniqueName="[Measures].[Female Count]" caption="Female Count" measure="1" displayFolder="" measureGroup="customer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aam Allah" refreshedDate="46103.679229398149" backgroundQuery="1" createdVersion="8" refreshedVersion="8" minRefreshableVersion="3" recordCount="0" supportSubquery="1" supportAdvancedDrill="1" xr:uid="{CB2A5BE5-5D4A-4F07-9C43-3BAA6AEA758E}">
  <cacheSource type="external" connectionId="1"/>
  <cacheFields count="7">
    <cacheField name="[Measures].[Rows Count]" caption="Rows Count" numFmtId="0" hierarchy="17" level="32767"/>
    <cacheField name="[Measures].[Total Purchase]" caption="Total Purchase" numFmtId="0" hierarchy="18" level="32767"/>
    <cacheField name="[Measures].[Total Duration]" caption="Total Duration" numFmtId="0" hierarchy="19" level="32767"/>
    <cacheField name="[Measures].[Average Rating]" caption="Average Rating" numFmtId="0" hierarchy="20" level="32767"/>
    <cacheField name="[Measures].[Happy Customers]" caption="Happy Customers" numFmtId="0" hierarchy="21" level="32767"/>
    <cacheField name="[Measures].[Happy Customer Percent]" caption="Happy Customer Percent" numFmtId="0" hierarchy="22" level="32767"/>
    <cacheField name="[calls].[Representative].[Representative]" caption="Representative" numFmtId="0" hierarchy="3" level="1">
      <sharedItems containsSemiMixedTypes="0" containsNonDate="0" containsString="0"/>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6"/>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Rows Count]" caption="Rows Count" measure="1" displayFolder="" measureGroup="calls" count="0" oneField="1">
      <fieldsUsage count="1">
        <fieldUsage x="0"/>
      </fieldsUsage>
    </cacheHierarchy>
    <cacheHierarchy uniqueName="[Measures].[Total Purchase]" caption="Total Purchase"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Happy Customers]" caption="Happy Customers" measure="1" displayFolder="" measureGroup="calls" count="0" oneField="1">
      <fieldsUsage count="1">
        <fieldUsage x="4"/>
      </fieldsUsage>
    </cacheHierarchy>
    <cacheHierarchy uniqueName="[Measures].[Happy Customer Percent]" caption="Happy Customer Percent" measure="1" displayFolder="" measureGroup="calls" count="0" oneField="1">
      <fieldsUsage count="1">
        <fieldUsage x="5"/>
      </fieldsUsage>
    </cacheHierarchy>
    <cacheHierarchy uniqueName="[Measures].[Male Count]" caption="Male Count" measure="1" displayFolder="" measureGroup="customers" count="0"/>
    <cacheHierarchy uniqueName="[Measures].[Female Count]" caption="Female Count" measure="1" displayFolder="" measureGroup="customer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aam Allah" refreshedDate="46103.679230208334" backgroundQuery="1" createdVersion="8" refreshedVersion="8" minRefreshableVersion="3" recordCount="0" supportSubquery="1" supportAdvancedDrill="1" xr:uid="{E3D4698A-D4AF-43DE-ACC7-DBEED7CD3D37}">
  <cacheSource type="external" connectionId="1"/>
  <cacheFields count="3">
    <cacheField name="[calls].[Representative].[Representative]" caption="Representative" numFmtId="0" hierarchy="3" level="1">
      <sharedItems containsSemiMixedTypes="0" containsNonDate="0" containsString="0"/>
    </cacheField>
    <cacheField name="[calls].[Date of Call (Month)].[Date of Call (Month)]" caption="Date of Call (Month)" numFmtId="0" hierarchy="11" level="1">
      <sharedItems count="12">
        <s v="Jan"/>
        <s v="Feb"/>
        <s v="Mar"/>
        <s v="Apr"/>
        <s v="May"/>
        <s v="Jun"/>
        <s v="Jul"/>
        <s v="Aug"/>
        <s v="Sep"/>
        <s v="Oct"/>
        <s v="Nov"/>
        <s v="Dec"/>
      </sharedItems>
    </cacheField>
    <cacheField name="[Measures].[Count of Call number]" caption="Count of Call number" numFmtId="0" hierarchy="28"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Rows Count]" caption="Rows Count" measure="1" displayFolder="" measureGroup="calls" count="0"/>
    <cacheHierarchy uniqueName="[Measures].[Total Purchase]" caption="Total Purchase"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Happy Customer Percent]" caption="Happy Customer Percent" measure="1" displayFolder="" measureGroup="calls" count="0"/>
    <cacheHierarchy uniqueName="[Measures].[Male Count]" caption="Male Count" measure="1" displayFolder="" measureGroup="customers" count="0"/>
    <cacheHierarchy uniqueName="[Measures].[Female Count]" caption="Female Count" measure="1" displayFolder="" measureGroup="customer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aam Allah" refreshedDate="46103.679230787035" backgroundQuery="1" createdVersion="8" refreshedVersion="8" minRefreshableVersion="3" recordCount="0" supportSubquery="1" supportAdvancedDrill="1" xr:uid="{7B53376E-E567-4864-9DB9-13BCBB04C9F1}">
  <cacheSource type="external" connectionId="1"/>
  <cacheFields count="3">
    <cacheField name="[Measures].[Count of Call number]" caption="Count of Call number" numFmtId="0" hierarchy="28" level="32767"/>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ntainsSemiMixedTypes="0" containsNonDate="0" containsString="0"/>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Rows Count]" caption="Rows Count" measure="1" displayFolder="" measureGroup="calls" count="0"/>
    <cacheHierarchy uniqueName="[Measures].[Total Purchase]" caption="Total Purchase"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Happy Customer Percent]" caption="Happy Customer Percent" measure="1" displayFolder="" measureGroup="calls" count="0"/>
    <cacheHierarchy uniqueName="[Measures].[Male Count]" caption="Male Count" measure="1" displayFolder="" measureGroup="customers" count="0"/>
    <cacheHierarchy uniqueName="[Measures].[Female Count]" caption="Female Count" measure="1" displayFolder="" measureGroup="customer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aam Allah" refreshedDate="46103.679231365742" backgroundQuery="1" createdVersion="8" refreshedVersion="8" minRefreshableVersion="3" recordCount="0" supportSubquery="1" supportAdvancedDrill="1" xr:uid="{59B2CBCA-C22F-4CC8-AD19-B49974309795}">
  <cacheSource type="external" connectionId="1"/>
  <cacheFields count="3">
    <cacheField name="[calls].[Representative].[Representative]" caption="Representative" numFmtId="0" hierarchy="3" level="1">
      <sharedItems count="5">
        <s v="R01"/>
        <s v="R02"/>
        <s v="R03"/>
        <s v="R04"/>
        <s v="R05"/>
      </sharedItems>
    </cacheField>
    <cacheField name="[Measures].[Rows Count]" caption="Rows Count" numFmtId="0" hierarchy="17" level="32767"/>
    <cacheField name="[Measures].[Total Purchase]" caption="Total Purchase" numFmtId="0" hierarchy="18"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Rows Count]" caption="Rows Count" measure="1" displayFolder="" measureGroup="calls" count="0" oneField="1">
      <fieldsUsage count="1">
        <fieldUsage x="1"/>
      </fieldsUsage>
    </cacheHierarchy>
    <cacheHierarchy uniqueName="[Measures].[Total Purchase]" caption="Total Purchase"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Happy Customer Percent]" caption="Happy Customer Percent" measure="1" displayFolder="" measureGroup="calls" count="0"/>
    <cacheHierarchy uniqueName="[Measures].[Male Count]" caption="Male Count" measure="1" displayFolder="" measureGroup="customers" count="0"/>
    <cacheHierarchy uniqueName="[Measures].[Female Count]" caption="Female Count" measure="1" displayFolder="" measureGroup="customer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aam Allah" refreshedDate="46103.679231944443" backgroundQuery="1" createdVersion="8" refreshedVersion="8" minRefreshableVersion="3" recordCount="0" supportSubquery="1" supportAdvancedDrill="1" xr:uid="{9B4F12D7-022E-45F6-A6CA-9F893CBA56F8}">
  <cacheSource type="external" connectionId="1"/>
  <cacheFields count="3">
    <cacheField name="[calls].[Representative].[Representative]" caption="Representative" numFmtId="0" hierarchy="3" level="1">
      <sharedItems containsSemiMixedTypes="0" containsNonDate="0" containsString="0"/>
    </cacheField>
    <cacheField name="[Measures].[Rows Count]" caption="Rows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2"/>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Rows Count]" caption="Rows Count" measure="1" displayFolder="" measureGroup="calls" count="0" oneField="1">
      <fieldsUsage count="1">
        <fieldUsage x="1"/>
      </fieldsUsage>
    </cacheHierarchy>
    <cacheHierarchy uniqueName="[Measures].[Total Purchase]" caption="Total Purchase"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Happy Customer Percent]" caption="Happy Customer Percent" measure="1" displayFolder="" measureGroup="calls" count="0"/>
    <cacheHierarchy uniqueName="[Measures].[Male Count]" caption="Male Count" measure="1" displayFolder="" measureGroup="customers" count="0"/>
    <cacheHierarchy uniqueName="[Measures].[Female Count]" caption="Female Count" measure="1" displayFolder="" measureGroup="customer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aam Allah" refreshedDate="46103.686671412041" backgroundQuery="1" createdVersion="8" refreshedVersion="8" minRefreshableVersion="3" recordCount="0" supportSubquery="1" supportAdvancedDrill="1" xr:uid="{F62B709F-A891-486C-A71B-64814CA614AB}">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Purchase]" caption="Total Purchase" numFmtId="0" hierarchy="18"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Rows Count]" caption="Rows Count" measure="1" displayFolder="" measureGroup="calls" count="0"/>
    <cacheHierarchy uniqueName="[Measures].[Total Purchase]" caption="Total Purchase"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Happy Customer Percent]" caption="Happy Customer Percent" measure="1" displayFolder="" measureGroup="calls" count="0"/>
    <cacheHierarchy uniqueName="[Measures].[Male Count]" caption="Male Count" measure="1" displayFolder="" measureGroup="customers" count="0"/>
    <cacheHierarchy uniqueName="[Measures].[Female Count]" caption="Female Count" measure="1" displayFolder="" measureGroup="customer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aam Allah" refreshedDate="46102.689913773145" backgroundQuery="1" createdVersion="3" refreshedVersion="8" minRefreshableVersion="3" recordCount="0" supportSubquery="1" supportAdvancedDrill="1" xr:uid="{21FEAED8-41AB-4200-90F3-BE6B9C956E2D}">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Rows Count]" caption="Rows Count" measure="1" displayFolder="" measureGroup="calls" count="0"/>
    <cacheHierarchy uniqueName="[Measures].[Total Purchase]" caption="Total Purchase"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Happy Customer Percent]" caption="Happy Customer Percent"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800833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11BA32-8FA8-44E2-BF79-17642E7FB68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F22:G30" firstHeaderRow="1" firstDataRow="1" firstDataCol="1"/>
  <pivotFields count="3">
    <pivotField dataField="1" subtotalTop="0" showAll="0" defaultSubtotal="0"/>
    <pivotField axis="axisRow" allDrilled="1" subtotalTop="0" showAll="0" sortType="a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v="4"/>
    </i>
    <i>
      <x v="1"/>
    </i>
    <i>
      <x v="5"/>
    </i>
    <i>
      <x/>
    </i>
    <i>
      <x v="3"/>
    </i>
    <i>
      <x v="6"/>
    </i>
    <i>
      <x v="2"/>
    </i>
    <i t="grand">
      <x/>
    </i>
  </rowItems>
  <colItems count="1">
    <i/>
  </colItems>
  <dataFields count="1">
    <dataField name="Count of Call number" fld="0" subtotal="count" baseField="0" baseItem="0"/>
  </dataField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D374B6-9D2D-4A55-8AAF-4CB56575415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2:B35"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1"/>
  </rowFields>
  <rowItems count="13">
    <i>
      <x/>
    </i>
    <i>
      <x v="1"/>
    </i>
    <i>
      <x v="2"/>
    </i>
    <i>
      <x v="3"/>
    </i>
    <i>
      <x v="4"/>
    </i>
    <i>
      <x v="5"/>
    </i>
    <i>
      <x v="6"/>
    </i>
    <i>
      <x v="7"/>
    </i>
    <i>
      <x v="8"/>
    </i>
    <i>
      <x v="9"/>
    </i>
    <i>
      <x v="10"/>
    </i>
    <i>
      <x v="11"/>
    </i>
    <i t="grand">
      <x/>
    </i>
  </rowItems>
  <colItems count="1">
    <i/>
  </colItems>
  <dataFields count="1">
    <dataField name="Count of Call number" fld="2"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952BEB-A058-4540-B4B7-62FC54D819F7}" name="Summary Pivo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64E86C-7B36-4425-81DF-54B90C10638B}" name="Rep Pivot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F15"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E24282-4D99-4067-AEA6-01FB62D3EDC6}" name="PivotTable6" cacheId="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6">
  <location ref="A67:G86"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A2FA08-1841-4300-A87F-FA5C78480FD0}"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6:B63"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Items count="1">
    <i/>
  </colItems>
  <dataFields count="1">
    <dataField fld="1"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F2D209-EF72-4918-A7AF-BBD57E69BFC1}"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0:C46"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6B010F-8580-405B-BA96-A92B2CF0A07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47:D52"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34" format="4" series="1">
      <pivotArea type="data" outline="0" fieldPosition="0">
        <references count="2">
          <reference field="4294967294" count="1" selected="0">
            <x v="0"/>
          </reference>
          <reference field="1" count="1" selected="0">
            <x v="0"/>
          </reference>
        </references>
      </pivotArea>
    </chartFormat>
    <chartFormat chart="34" format="5" series="1">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B021E96F-E62D-4CC2-A8AA-4DE0B23B7C5E}" sourceName="[calls].[Representative]">
  <pivotTables>
    <pivotTable tabId="6" name="Rep Pivots"/>
    <pivotTable tabId="6" name="PivotTable1"/>
    <pivotTable tabId="6" name="PivotTable2"/>
    <pivotTable tabId="6" name="PivotTable3"/>
    <pivotTable tabId="6" name="PivotTable5"/>
    <pivotTable tabId="6" name="PivotTable6"/>
  </pivotTables>
  <data>
    <olap pivotCacheId="48008330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1E10F339-F5AF-4FEF-B8A8-9C8FF10A0498}" cache="Slicer_Representative" caption="Representativ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06346A05-18DE-4264-9D5D-3CE596D0E592}" cache="Slicer_Representative" caption="Representativ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3"/>
    <tableColumn id="5" xr3:uid="{5A35565E-8707-4DED-AD15-A0669D67B382}" name="Date of Call" dataDxfId="12"/>
    <tableColumn id="6" xr3:uid="{F2E4F158-B41F-47BC-8DF8-DFCADFEE4E40}" name="Purchase Amount"/>
    <tableColumn id="7" xr3:uid="{04B291B5-47BD-4F78-8FD8-D1551CCA6BD9}" name="Satisfaction Rating"/>
    <tableColumn id="8" xr3:uid="{6E4123C0-0B17-43B8-A142-A1E540CE974C}" name="FY" dataDxfId="11">
      <calculatedColumnFormula>IF(MONTH(calls[[#This Row],[Date of Call]])&lt;=6, YEAR(calls[[#This Row],[Date of Call]]), YEAR(calls[[#This Row],[Date of Call]])+1)</calculatedColumnFormula>
    </tableColumn>
    <tableColumn id="9" xr3:uid="{199FA271-5E9B-46CE-9BC6-2801F92CD17E}" name="Day of week" dataDxfId="10">
      <calculatedColumnFormula>TEXT(calls[[#This Row],[Date of Call]],"DDDD")</calculatedColumnFormula>
    </tableColumn>
    <tableColumn id="10" xr3:uid="{328CDB09-95B8-4D5E-9ED9-EF0D363735A1}" name="Duration Bucket" dataDxfId="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8">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7" headerRowBorderDxfId="6" tableBorderDxfId="5" totalsRowBorderDxfId="4">
  <autoFilter ref="Q3:T18" xr:uid="{27158F51-A707-4171-8A04-81FB0AABCBA5}"/>
  <tableColumns count="4">
    <tableColumn id="1" xr3:uid="{02688061-6A8C-4E23-B7FF-D00CD8B58CAC}" name="Customer ID" dataDxfId="3"/>
    <tableColumn id="2" xr3:uid="{771678B6-DB44-426B-9874-B4E421A440D5}" name="Gedner" dataDxfId="2"/>
    <tableColumn id="3" xr3:uid="{B0D41C62-587E-494D-B49A-603F2C05F8D3}" name="Age" dataDxfId="1"/>
    <tableColumn id="4" xr3:uid="{663F92D6-FE31-4D81-9E01-8D066DDC8A88}" name="City"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74" zoomScaleNormal="115" workbookViewId="0">
      <selection activeCell="E21" sqref="E21"/>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1070</v>
      </c>
    </row>
    <row r="2" spans="2:20" x14ac:dyDescent="0.3">
      <c r="R2" s="1"/>
    </row>
    <row r="3" spans="2:20" x14ac:dyDescent="0.3">
      <c r="B3" s="14" t="s">
        <v>25</v>
      </c>
      <c r="C3" s="14" t="s">
        <v>0</v>
      </c>
      <c r="D3" s="15" t="s">
        <v>1</v>
      </c>
      <c r="E3" s="16" t="s">
        <v>3</v>
      </c>
      <c r="F3" s="16" t="s">
        <v>4</v>
      </c>
      <c r="G3" s="14" t="s">
        <v>2</v>
      </c>
      <c r="H3" s="14" t="s">
        <v>994</v>
      </c>
      <c r="I3" t="s">
        <v>1035</v>
      </c>
      <c r="J3" t="s">
        <v>1036</v>
      </c>
      <c r="K3" t="s">
        <v>1037</v>
      </c>
      <c r="L3" t="s">
        <v>1038</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1003</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1004</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1005</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1006</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1007</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1008</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1009</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1010</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1011</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1012</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1013</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1014</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1015</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1016</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1017</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1018</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1019</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1020</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1021</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1022</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1023</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1024</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1025</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1026</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1027</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1028</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1029</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1030</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1031</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1032</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1033</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1034</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454F3-BCBF-463C-BC03-E8E1BB55D686}">
  <dimension ref="A3:G86"/>
  <sheetViews>
    <sheetView topLeftCell="A98" workbookViewId="0">
      <selection activeCell="K20" sqref="K20"/>
    </sheetView>
  </sheetViews>
  <sheetFormatPr defaultRowHeight="14.4" x14ac:dyDescent="0.3"/>
  <cols>
    <col min="1" max="1" width="13.09765625" bestFit="1" customWidth="1"/>
    <col min="2" max="2" width="15.19921875" bestFit="1" customWidth="1"/>
    <col min="3" max="6" width="6.3984375" bestFit="1" customWidth="1"/>
    <col min="7" max="7" width="10.3984375" bestFit="1" customWidth="1"/>
    <col min="8" max="190" width="10.796875" bestFit="1" customWidth="1"/>
    <col min="191" max="191" width="10.3984375" bestFit="1" customWidth="1"/>
  </cols>
  <sheetData>
    <row r="3" spans="1:6" x14ac:dyDescent="0.3">
      <c r="A3" t="s">
        <v>1041</v>
      </c>
      <c r="B3" t="s">
        <v>1042</v>
      </c>
      <c r="C3" t="s">
        <v>1043</v>
      </c>
      <c r="D3" t="s">
        <v>1044</v>
      </c>
      <c r="E3" t="s">
        <v>1045</v>
      </c>
    </row>
    <row r="4" spans="1:6" x14ac:dyDescent="0.3">
      <c r="A4" s="21">
        <v>1000</v>
      </c>
      <c r="B4" s="22">
        <v>96623</v>
      </c>
      <c r="C4" s="21">
        <v>89850</v>
      </c>
      <c r="D4" s="23">
        <v>3.8854000000000033</v>
      </c>
      <c r="E4">
        <v>307</v>
      </c>
    </row>
    <row r="14" spans="1:6" x14ac:dyDescent="0.3">
      <c r="A14" t="s">
        <v>1041</v>
      </c>
      <c r="B14" t="s">
        <v>1042</v>
      </c>
      <c r="C14" t="s">
        <v>1043</v>
      </c>
      <c r="D14" t="s">
        <v>1044</v>
      </c>
      <c r="E14" t="s">
        <v>1045</v>
      </c>
      <c r="F14" t="s">
        <v>1053</v>
      </c>
    </row>
    <row r="15" spans="1:6" x14ac:dyDescent="0.3">
      <c r="A15" s="21">
        <v>1000</v>
      </c>
      <c r="B15" s="22">
        <v>96623</v>
      </c>
      <c r="C15" s="21">
        <v>89850</v>
      </c>
      <c r="D15" s="23">
        <v>3.8854000000000033</v>
      </c>
      <c r="E15">
        <v>307</v>
      </c>
      <c r="F15" s="23">
        <v>30.7</v>
      </c>
    </row>
    <row r="22" spans="1:7" x14ac:dyDescent="0.3">
      <c r="A22" s="24" t="s">
        <v>1067</v>
      </c>
      <c r="B22" t="s">
        <v>1068</v>
      </c>
      <c r="F22" s="24" t="s">
        <v>1067</v>
      </c>
      <c r="G22" t="s">
        <v>1068</v>
      </c>
    </row>
    <row r="23" spans="1:7" x14ac:dyDescent="0.3">
      <c r="A23" s="25" t="s">
        <v>1055</v>
      </c>
      <c r="B23">
        <v>79</v>
      </c>
      <c r="F23" s="25" t="s">
        <v>1048</v>
      </c>
      <c r="G23">
        <v>128</v>
      </c>
    </row>
    <row r="24" spans="1:7" x14ac:dyDescent="0.3">
      <c r="A24" s="25" t="s">
        <v>1056</v>
      </c>
      <c r="B24">
        <v>66</v>
      </c>
      <c r="F24" s="25" t="s">
        <v>1046</v>
      </c>
      <c r="G24">
        <v>133</v>
      </c>
    </row>
    <row r="25" spans="1:7" x14ac:dyDescent="0.3">
      <c r="A25" s="25" t="s">
        <v>1057</v>
      </c>
      <c r="B25">
        <v>155</v>
      </c>
      <c r="F25" s="25" t="s">
        <v>1050</v>
      </c>
      <c r="G25">
        <v>138</v>
      </c>
    </row>
    <row r="26" spans="1:7" x14ac:dyDescent="0.3">
      <c r="A26" s="25" t="s">
        <v>1058</v>
      </c>
      <c r="B26">
        <v>136</v>
      </c>
      <c r="F26" s="25" t="s">
        <v>1051</v>
      </c>
      <c r="G26">
        <v>141</v>
      </c>
    </row>
    <row r="27" spans="1:7" x14ac:dyDescent="0.3">
      <c r="A27" s="25" t="s">
        <v>1059</v>
      </c>
      <c r="B27">
        <v>83</v>
      </c>
      <c r="F27" s="25" t="s">
        <v>1049</v>
      </c>
      <c r="G27">
        <v>146</v>
      </c>
    </row>
    <row r="28" spans="1:7" x14ac:dyDescent="0.3">
      <c r="A28" s="25" t="s">
        <v>1060</v>
      </c>
      <c r="B28">
        <v>67</v>
      </c>
      <c r="F28" s="25" t="s">
        <v>1047</v>
      </c>
      <c r="G28">
        <v>153</v>
      </c>
    </row>
    <row r="29" spans="1:7" x14ac:dyDescent="0.3">
      <c r="A29" s="25" t="s">
        <v>1061</v>
      </c>
      <c r="B29">
        <v>64</v>
      </c>
      <c r="F29" s="25" t="s">
        <v>1052</v>
      </c>
      <c r="G29">
        <v>161</v>
      </c>
    </row>
    <row r="30" spans="1:7" x14ac:dyDescent="0.3">
      <c r="A30" s="25" t="s">
        <v>1062</v>
      </c>
      <c r="B30">
        <v>50</v>
      </c>
      <c r="F30" s="25" t="s">
        <v>1054</v>
      </c>
      <c r="G30">
        <v>1000</v>
      </c>
    </row>
    <row r="31" spans="1:7" x14ac:dyDescent="0.3">
      <c r="A31" s="25" t="s">
        <v>1063</v>
      </c>
      <c r="B31">
        <v>76</v>
      </c>
    </row>
    <row r="32" spans="1:7" x14ac:dyDescent="0.3">
      <c r="A32" s="25" t="s">
        <v>1064</v>
      </c>
      <c r="B32">
        <v>114</v>
      </c>
    </row>
    <row r="33" spans="1:4" x14ac:dyDescent="0.3">
      <c r="A33" s="25" t="s">
        <v>1065</v>
      </c>
      <c r="B33">
        <v>57</v>
      </c>
    </row>
    <row r="34" spans="1:4" x14ac:dyDescent="0.3">
      <c r="A34" s="25" t="s">
        <v>1066</v>
      </c>
      <c r="B34">
        <v>53</v>
      </c>
    </row>
    <row r="35" spans="1:4" x14ac:dyDescent="0.3">
      <c r="A35" s="25" t="s">
        <v>1054</v>
      </c>
      <c r="B35">
        <v>1000</v>
      </c>
    </row>
    <row r="40" spans="1:4" x14ac:dyDescent="0.3">
      <c r="A40" s="24" t="s">
        <v>1067</v>
      </c>
      <c r="B40" t="s">
        <v>1041</v>
      </c>
      <c r="C40" t="s">
        <v>1042</v>
      </c>
    </row>
    <row r="41" spans="1:4" x14ac:dyDescent="0.3">
      <c r="A41" s="25" t="s">
        <v>11</v>
      </c>
      <c r="B41" s="21">
        <v>189</v>
      </c>
      <c r="C41" s="22">
        <v>18415</v>
      </c>
    </row>
    <row r="42" spans="1:4" x14ac:dyDescent="0.3">
      <c r="A42" s="25" t="s">
        <v>9</v>
      </c>
      <c r="B42" s="21">
        <v>218</v>
      </c>
      <c r="C42" s="22">
        <v>20581</v>
      </c>
    </row>
    <row r="43" spans="1:4" x14ac:dyDescent="0.3">
      <c r="A43" s="25" t="s">
        <v>6</v>
      </c>
      <c r="B43" s="21">
        <v>207</v>
      </c>
      <c r="C43" s="22">
        <v>20872</v>
      </c>
    </row>
    <row r="44" spans="1:4" x14ac:dyDescent="0.3">
      <c r="A44" s="25" t="s">
        <v>13</v>
      </c>
      <c r="B44" s="21">
        <v>186</v>
      </c>
      <c r="C44" s="22">
        <v>16651</v>
      </c>
    </row>
    <row r="45" spans="1:4" x14ac:dyDescent="0.3">
      <c r="A45" s="25" t="s">
        <v>10</v>
      </c>
      <c r="B45" s="21">
        <v>200</v>
      </c>
      <c r="C45" s="22">
        <v>20104</v>
      </c>
    </row>
    <row r="46" spans="1:4" x14ac:dyDescent="0.3">
      <c r="A46" s="25" t="s">
        <v>1054</v>
      </c>
      <c r="B46" s="21">
        <v>1000</v>
      </c>
      <c r="C46" s="22">
        <v>96623</v>
      </c>
    </row>
    <row r="47" spans="1:4" x14ac:dyDescent="0.3">
      <c r="A47" s="24" t="s">
        <v>1041</v>
      </c>
      <c r="B47" s="24" t="s">
        <v>1069</v>
      </c>
    </row>
    <row r="48" spans="1:4" x14ac:dyDescent="0.3">
      <c r="A48" s="24" t="s">
        <v>1067</v>
      </c>
      <c r="B48" t="s">
        <v>999</v>
      </c>
      <c r="C48" t="s">
        <v>998</v>
      </c>
      <c r="D48" t="s">
        <v>1054</v>
      </c>
    </row>
    <row r="49" spans="1:4" x14ac:dyDescent="0.3">
      <c r="A49" s="25" t="s">
        <v>1002</v>
      </c>
      <c r="B49" s="21">
        <v>144</v>
      </c>
      <c r="C49" s="21">
        <v>132</v>
      </c>
      <c r="D49" s="21">
        <v>276</v>
      </c>
    </row>
    <row r="50" spans="1:4" x14ac:dyDescent="0.3">
      <c r="A50" s="25" t="s">
        <v>1001</v>
      </c>
      <c r="B50" s="21">
        <v>326</v>
      </c>
      <c r="C50" s="21">
        <v>63</v>
      </c>
      <c r="D50" s="21">
        <v>389</v>
      </c>
    </row>
    <row r="51" spans="1:4" x14ac:dyDescent="0.3">
      <c r="A51" s="25" t="s">
        <v>1000</v>
      </c>
      <c r="B51" s="21">
        <v>129</v>
      </c>
      <c r="C51" s="21">
        <v>206</v>
      </c>
      <c r="D51" s="21">
        <v>335</v>
      </c>
    </row>
    <row r="52" spans="1:4" x14ac:dyDescent="0.3">
      <c r="A52" s="25" t="s">
        <v>1054</v>
      </c>
      <c r="B52" s="21">
        <v>599</v>
      </c>
      <c r="C52" s="21">
        <v>401</v>
      </c>
      <c r="D52" s="21">
        <v>1000</v>
      </c>
    </row>
    <row r="56" spans="1:4" x14ac:dyDescent="0.3">
      <c r="A56" s="24" t="s">
        <v>1067</v>
      </c>
      <c r="B56" t="s">
        <v>1041</v>
      </c>
    </row>
    <row r="57" spans="1:4" x14ac:dyDescent="0.3">
      <c r="A57" s="25">
        <v>0</v>
      </c>
      <c r="B57" s="21">
        <v>1</v>
      </c>
    </row>
    <row r="58" spans="1:4" x14ac:dyDescent="0.3">
      <c r="A58" s="25">
        <v>1</v>
      </c>
      <c r="B58" s="21">
        <v>8</v>
      </c>
    </row>
    <row r="59" spans="1:4" x14ac:dyDescent="0.3">
      <c r="A59" s="25">
        <v>2</v>
      </c>
      <c r="B59" s="21">
        <v>59</v>
      </c>
    </row>
    <row r="60" spans="1:4" x14ac:dyDescent="0.3">
      <c r="A60" s="25">
        <v>3</v>
      </c>
      <c r="B60" s="21">
        <v>197</v>
      </c>
    </row>
    <row r="61" spans="1:4" x14ac:dyDescent="0.3">
      <c r="A61" s="25">
        <v>4</v>
      </c>
      <c r="B61" s="21">
        <v>428</v>
      </c>
    </row>
    <row r="62" spans="1:4" x14ac:dyDescent="0.3">
      <c r="A62" s="25">
        <v>5</v>
      </c>
      <c r="B62" s="21">
        <v>307</v>
      </c>
    </row>
    <row r="63" spans="1:4" x14ac:dyDescent="0.3">
      <c r="A63" s="25" t="s">
        <v>1054</v>
      </c>
      <c r="B63" s="21">
        <v>1000</v>
      </c>
    </row>
    <row r="67" spans="1:7" x14ac:dyDescent="0.3">
      <c r="A67" s="24" t="s">
        <v>1042</v>
      </c>
      <c r="B67" s="24" t="s">
        <v>1069</v>
      </c>
    </row>
    <row r="68" spans="1:7" x14ac:dyDescent="0.3">
      <c r="A68" s="24" t="s">
        <v>1067</v>
      </c>
      <c r="B68" t="s">
        <v>11</v>
      </c>
      <c r="C68" t="s">
        <v>9</v>
      </c>
      <c r="D68" t="s">
        <v>6</v>
      </c>
      <c r="E68" t="s">
        <v>13</v>
      </c>
      <c r="F68" t="s">
        <v>10</v>
      </c>
      <c r="G68" t="s">
        <v>1054</v>
      </c>
    </row>
    <row r="69" spans="1:7" x14ac:dyDescent="0.3">
      <c r="A69" s="25" t="s">
        <v>1002</v>
      </c>
    </row>
    <row r="70" spans="1:7" x14ac:dyDescent="0.3">
      <c r="A70" s="26" t="s">
        <v>20</v>
      </c>
      <c r="B70" s="22">
        <v>891</v>
      </c>
      <c r="C70" s="22">
        <v>1332</v>
      </c>
      <c r="D70" s="22">
        <v>1282</v>
      </c>
      <c r="E70" s="22">
        <v>739</v>
      </c>
      <c r="F70" s="22">
        <v>560</v>
      </c>
      <c r="G70" s="22">
        <v>4804</v>
      </c>
    </row>
    <row r="71" spans="1:7" x14ac:dyDescent="0.3">
      <c r="A71" s="26" t="s">
        <v>12</v>
      </c>
      <c r="B71" s="22">
        <v>1991</v>
      </c>
      <c r="C71" s="22">
        <v>1886</v>
      </c>
      <c r="D71" s="22">
        <v>1206</v>
      </c>
      <c r="E71" s="22">
        <v>884</v>
      </c>
      <c r="F71" s="22">
        <v>1722</v>
      </c>
      <c r="G71" s="22">
        <v>7689</v>
      </c>
    </row>
    <row r="72" spans="1:7" x14ac:dyDescent="0.3">
      <c r="A72" s="26" t="s">
        <v>8</v>
      </c>
      <c r="B72" s="22">
        <v>1163</v>
      </c>
      <c r="C72" s="22">
        <v>1180</v>
      </c>
      <c r="D72" s="22">
        <v>1616</v>
      </c>
      <c r="E72" s="22">
        <v>1043</v>
      </c>
      <c r="F72" s="22">
        <v>1747</v>
      </c>
      <c r="G72" s="22">
        <v>6749</v>
      </c>
    </row>
    <row r="73" spans="1:7" x14ac:dyDescent="0.3">
      <c r="A73" s="26" t="s">
        <v>16</v>
      </c>
      <c r="B73" s="22">
        <v>1438</v>
      </c>
      <c r="C73" s="22">
        <v>1616</v>
      </c>
      <c r="D73" s="22">
        <v>866</v>
      </c>
      <c r="E73" s="22">
        <v>829</v>
      </c>
      <c r="F73" s="22">
        <v>2070</v>
      </c>
      <c r="G73" s="22">
        <v>6819</v>
      </c>
    </row>
    <row r="74" spans="1:7" x14ac:dyDescent="0.3">
      <c r="A74" s="25" t="s">
        <v>1001</v>
      </c>
    </row>
    <row r="75" spans="1:7" x14ac:dyDescent="0.3">
      <c r="A75" s="26" t="s">
        <v>24</v>
      </c>
      <c r="B75" s="22">
        <v>1233</v>
      </c>
      <c r="C75" s="22">
        <v>223</v>
      </c>
      <c r="D75" s="22">
        <v>1680</v>
      </c>
      <c r="E75" s="22">
        <v>990</v>
      </c>
      <c r="F75" s="22">
        <v>1508</v>
      </c>
      <c r="G75" s="22">
        <v>5634</v>
      </c>
    </row>
    <row r="76" spans="1:7" x14ac:dyDescent="0.3">
      <c r="A76" s="26" t="s">
        <v>15</v>
      </c>
      <c r="B76" s="22">
        <v>1598</v>
      </c>
      <c r="C76" s="22">
        <v>1907</v>
      </c>
      <c r="D76" s="22">
        <v>869</v>
      </c>
      <c r="E76" s="22">
        <v>1426</v>
      </c>
      <c r="F76" s="22">
        <v>1416</v>
      </c>
      <c r="G76" s="22">
        <v>7216</v>
      </c>
    </row>
    <row r="77" spans="1:7" x14ac:dyDescent="0.3">
      <c r="A77" s="26" t="s">
        <v>5</v>
      </c>
      <c r="B77" s="22">
        <v>900</v>
      </c>
      <c r="C77" s="22">
        <v>1016</v>
      </c>
      <c r="D77" s="22">
        <v>960</v>
      </c>
      <c r="E77" s="22">
        <v>940</v>
      </c>
      <c r="F77" s="22">
        <v>1193</v>
      </c>
      <c r="G77" s="22">
        <v>5009</v>
      </c>
    </row>
    <row r="78" spans="1:7" x14ac:dyDescent="0.3">
      <c r="A78" s="26" t="s">
        <v>18</v>
      </c>
      <c r="B78" s="22">
        <v>900</v>
      </c>
      <c r="C78" s="22">
        <v>1470</v>
      </c>
      <c r="D78" s="22">
        <v>1617</v>
      </c>
      <c r="E78" s="22">
        <v>1314</v>
      </c>
      <c r="F78" s="22">
        <v>941</v>
      </c>
      <c r="G78" s="22">
        <v>6242</v>
      </c>
    </row>
    <row r="79" spans="1:7" x14ac:dyDescent="0.3">
      <c r="A79" s="26" t="s">
        <v>14</v>
      </c>
      <c r="B79" s="22">
        <v>1255</v>
      </c>
      <c r="C79" s="22">
        <v>516</v>
      </c>
      <c r="D79" s="22">
        <v>1874</v>
      </c>
      <c r="E79" s="22">
        <v>1863</v>
      </c>
      <c r="F79" s="22">
        <v>1722</v>
      </c>
      <c r="G79" s="22">
        <v>7230</v>
      </c>
    </row>
    <row r="80" spans="1:7" x14ac:dyDescent="0.3">
      <c r="A80" s="26" t="s">
        <v>19</v>
      </c>
      <c r="B80" s="22">
        <v>1138</v>
      </c>
      <c r="C80" s="22">
        <v>1898</v>
      </c>
      <c r="D80" s="22">
        <v>1482</v>
      </c>
      <c r="E80" s="22">
        <v>846</v>
      </c>
      <c r="F80" s="22">
        <v>1154</v>
      </c>
      <c r="G80" s="22">
        <v>6518</v>
      </c>
    </row>
    <row r="81" spans="1:7" x14ac:dyDescent="0.3">
      <c r="A81" s="25" t="s">
        <v>1000</v>
      </c>
    </row>
    <row r="82" spans="1:7" x14ac:dyDescent="0.3">
      <c r="A82" s="26" t="s">
        <v>17</v>
      </c>
      <c r="B82" s="22">
        <v>1655</v>
      </c>
      <c r="C82" s="22">
        <v>805</v>
      </c>
      <c r="D82" s="22">
        <v>2263</v>
      </c>
      <c r="E82" s="22">
        <v>987</v>
      </c>
      <c r="F82" s="22">
        <v>1075</v>
      </c>
      <c r="G82" s="22">
        <v>6785</v>
      </c>
    </row>
    <row r="83" spans="1:7" x14ac:dyDescent="0.3">
      <c r="A83" s="26" t="s">
        <v>23</v>
      </c>
      <c r="B83" s="22">
        <v>1104</v>
      </c>
      <c r="C83" s="22">
        <v>2280</v>
      </c>
      <c r="D83" s="22">
        <v>1445</v>
      </c>
      <c r="E83" s="22">
        <v>1722</v>
      </c>
      <c r="F83" s="22">
        <v>1196</v>
      </c>
      <c r="G83" s="22">
        <v>7747</v>
      </c>
    </row>
    <row r="84" spans="1:7" x14ac:dyDescent="0.3">
      <c r="A84" s="26" t="s">
        <v>7</v>
      </c>
      <c r="B84" s="22">
        <v>372</v>
      </c>
      <c r="C84" s="22">
        <v>1818</v>
      </c>
      <c r="D84" s="22">
        <v>1346</v>
      </c>
      <c r="E84" s="22">
        <v>1156</v>
      </c>
      <c r="F84" s="22">
        <v>1484</v>
      </c>
      <c r="G84" s="22">
        <v>6176</v>
      </c>
    </row>
    <row r="85" spans="1:7" x14ac:dyDescent="0.3">
      <c r="A85" s="26" t="s">
        <v>22</v>
      </c>
      <c r="B85" s="22">
        <v>1415</v>
      </c>
      <c r="C85" s="22">
        <v>1271</v>
      </c>
      <c r="D85" s="22">
        <v>1214</v>
      </c>
      <c r="E85" s="22">
        <v>1135</v>
      </c>
      <c r="F85" s="22">
        <v>1566</v>
      </c>
      <c r="G85" s="22">
        <v>6601</v>
      </c>
    </row>
    <row r="86" spans="1:7" x14ac:dyDescent="0.3">
      <c r="A86" s="26" t="s">
        <v>21</v>
      </c>
      <c r="B86" s="22">
        <v>1362</v>
      </c>
      <c r="C86" s="22">
        <v>1363</v>
      </c>
      <c r="D86" s="22">
        <v>1152</v>
      </c>
      <c r="E86" s="22">
        <v>777</v>
      </c>
      <c r="F86" s="22">
        <v>750</v>
      </c>
      <c r="G86" s="22">
        <v>5404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017C0-276D-48EA-8DFA-22B7F53A14A5}">
  <dimension ref="A1:AW38"/>
  <sheetViews>
    <sheetView tabSelected="1" zoomScale="76" zoomScaleNormal="84" workbookViewId="0">
      <selection activeCell="W33" sqref="W33"/>
    </sheetView>
  </sheetViews>
  <sheetFormatPr defaultRowHeight="14.4" x14ac:dyDescent="0.3"/>
  <cols>
    <col min="1" max="1" width="1.59765625" customWidth="1"/>
  </cols>
  <sheetData>
    <row r="1" spans="1:49" x14ac:dyDescent="0.3">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row>
    <row r="2" spans="1:49"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row>
    <row r="3" spans="1:49"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row>
    <row r="4" spans="1:49"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row>
    <row r="5" spans="1:49"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row>
    <row r="6" spans="1:49"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row>
    <row r="7" spans="1:49"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row>
    <row r="8" spans="1:49"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row>
    <row r="9" spans="1:49"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row>
    <row r="10" spans="1:49"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row>
    <row r="11" spans="1:49"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row>
    <row r="12" spans="1:49"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row>
    <row r="13" spans="1:49"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row>
    <row r="14" spans="1:49"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row>
    <row r="15" spans="1:49"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row>
    <row r="16" spans="1:49"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row>
    <row r="17" spans="1:49"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row>
    <row r="18" spans="1:49"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row>
    <row r="19" spans="1:49"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row>
    <row r="20" spans="1:49"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row>
    <row r="21" spans="1:49"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row>
    <row r="22" spans="1:49" x14ac:dyDescent="0.3">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row>
    <row r="23" spans="1:49" x14ac:dyDescent="0.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row>
    <row r="24" spans="1:49" x14ac:dyDescent="0.3">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row>
    <row r="25" spans="1:49" x14ac:dyDescent="0.3">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row>
    <row r="26" spans="1:49"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row>
    <row r="27" spans="1:49"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row>
    <row r="28" spans="1:49"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row>
    <row r="29" spans="1:49"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row>
    <row r="30" spans="1:49" x14ac:dyDescent="0.3">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row>
    <row r="31" spans="1:49" x14ac:dyDescent="0.3">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row>
    <row r="32" spans="1:49" x14ac:dyDescent="0.3">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row>
    <row r="33" spans="1:49" x14ac:dyDescent="0.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row>
    <row r="34" spans="1:49" x14ac:dyDescent="0.3">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row>
    <row r="35" spans="1:49" x14ac:dyDescent="0.3">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row>
    <row r="36" spans="1:49"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row>
    <row r="37" spans="1:49"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row>
    <row r="38" spans="1:49"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row>
  </sheetData>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C15" sqref="C15"/>
    </sheetView>
  </sheetViews>
  <sheetFormatPr defaultRowHeight="14.4" x14ac:dyDescent="0.3"/>
  <cols>
    <col min="5" max="5" width="10.8984375" customWidth="1"/>
    <col min="6" max="6" width="9.8984375" customWidth="1"/>
  </cols>
  <sheetData>
    <row r="2" spans="5:6" x14ac:dyDescent="0.3">
      <c r="E2" t="s">
        <v>1039</v>
      </c>
      <c r="F2" t="s">
        <v>1040</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Pivots</vt:lpstr>
      <vt:lpstr>Dashboard</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02-136232-049</cp:lastModifiedBy>
  <dcterms:created xsi:type="dcterms:W3CDTF">2021-03-14T20:21:32Z</dcterms:created>
  <dcterms:modified xsi:type="dcterms:W3CDTF">2026-03-22T13:15:37Z</dcterms:modified>
</cp:coreProperties>
</file>